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28522A05-4C34-48C0-8BF6-EDEE78368A72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Phase 1 seed" sheetId="6" r:id="rId1"/>
    <sheet name="Phase 1" sheetId="4" r:id="rId2"/>
    <sheet name="Phase 2 seed" sheetId="5" r:id="rId3"/>
    <sheet name="Phase 2" sheetId="2" r:id="rId4"/>
    <sheet name="Phase 3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7" l="1"/>
  <c r="AB4" i="7"/>
  <c r="AB5" i="7"/>
  <c r="AB6" i="7"/>
  <c r="AB7" i="7"/>
  <c r="AB8" i="7"/>
  <c r="AB9" i="7"/>
  <c r="AB10" i="7"/>
  <c r="AB11" i="7"/>
  <c r="AB13" i="7"/>
  <c r="AB14" i="7"/>
  <c r="AB15" i="7"/>
  <c r="AB16" i="7"/>
  <c r="AB17" i="7"/>
  <c r="AB18" i="7"/>
  <c r="AB19" i="7"/>
  <c r="AB20" i="7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AB12" i="7" l="1"/>
  <c r="AA3" i="2"/>
  <c r="AA4" i="2"/>
  <c r="AA5" i="2"/>
  <c r="AA7" i="2" l="1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6" i="2"/>
  <c r="R6" i="5" l="1"/>
  <c r="R5" i="5"/>
  <c r="R4" i="5"/>
  <c r="R3" i="5"/>
  <c r="X32" i="4" l="1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R21" i="6" l="1"/>
  <c r="R4" i="6"/>
  <c r="R5" i="6"/>
  <c r="R6" i="6"/>
  <c r="R7" i="6"/>
  <c r="R8" i="6"/>
  <c r="R22" i="6"/>
  <c r="R29" i="6"/>
  <c r="R30" i="6"/>
  <c r="R31" i="6"/>
  <c r="R32" i="6"/>
  <c r="R15" i="6"/>
  <c r="R16" i="6"/>
  <c r="R17" i="6"/>
  <c r="R18" i="6"/>
  <c r="R19" i="6"/>
  <c r="R20" i="6"/>
  <c r="R23" i="6"/>
  <c r="R24" i="6"/>
  <c r="R25" i="6"/>
  <c r="R9" i="6"/>
  <c r="R10" i="6"/>
  <c r="R11" i="6"/>
  <c r="R12" i="6"/>
  <c r="R13" i="6"/>
  <c r="R14" i="6"/>
  <c r="R26" i="6"/>
  <c r="R27" i="6"/>
  <c r="R28" i="6"/>
  <c r="R33" i="6"/>
  <c r="R3" i="6"/>
</calcChain>
</file>

<file path=xl/sharedStrings.xml><?xml version="1.0" encoding="utf-8"?>
<sst xmlns="http://schemas.openxmlformats.org/spreadsheetml/2006/main" count="299" uniqueCount="51">
  <si>
    <t xml:space="preserve">Zr </t>
  </si>
  <si>
    <t xml:space="preserve">Cu </t>
  </si>
  <si>
    <t xml:space="preserve">Co </t>
  </si>
  <si>
    <t xml:space="preserve">Fe </t>
  </si>
  <si>
    <r>
      <t>T [</t>
    </r>
    <r>
      <rPr>
        <b/>
        <sz val="12"/>
        <color theme="1"/>
        <rFont val="Dotum"/>
        <family val="2"/>
      </rPr>
      <t>°</t>
    </r>
    <r>
      <rPr>
        <b/>
        <sz val="12"/>
        <color theme="1"/>
        <rFont val="Calibri"/>
        <family val="2"/>
      </rPr>
      <t>C]</t>
    </r>
  </si>
  <si>
    <t>C=</t>
  </si>
  <si>
    <t>C-</t>
  </si>
  <si>
    <t>MeOH</t>
  </si>
  <si>
    <t>HA</t>
  </si>
  <si>
    <t>C1</t>
  </si>
  <si>
    <t>EI</t>
  </si>
  <si>
    <t>Exp</t>
  </si>
  <si>
    <t>Cycle 1</t>
  </si>
  <si>
    <t>Cycle 2</t>
  </si>
  <si>
    <t>Cycle 3</t>
  </si>
  <si>
    <t>Cycle 4</t>
  </si>
  <si>
    <t>Cycle 5</t>
  </si>
  <si>
    <t>Cycle 6</t>
  </si>
  <si>
    <t>PV</t>
  </si>
  <si>
    <t xml:space="preserve">Actual composition (XRF) </t>
  </si>
  <si>
    <r>
      <t>STY</t>
    </r>
    <r>
      <rPr>
        <b/>
        <vertAlign val="subscript"/>
        <sz val="12"/>
        <color theme="1"/>
        <rFont val="Calibri"/>
        <family val="2"/>
        <scheme val="minor"/>
      </rPr>
      <t>HA</t>
    </r>
    <r>
      <rPr>
        <b/>
        <sz val="12"/>
        <color theme="1"/>
        <rFont val="Calibri"/>
        <family val="2"/>
        <scheme val="minor"/>
      </rPr>
      <t xml:space="preserve"> [mg/(h*g</t>
    </r>
    <r>
      <rPr>
        <b/>
        <vertAlign val="subscript"/>
        <sz val="11"/>
        <color theme="1"/>
        <rFont val="Calibri (Body)"/>
      </rPr>
      <t>cat</t>
    </r>
    <r>
      <rPr>
        <b/>
        <sz val="12"/>
        <color theme="1"/>
        <rFont val="Calibri"/>
        <family val="2"/>
        <scheme val="minor"/>
      </rPr>
      <t xml:space="preserve">)] </t>
    </r>
  </si>
  <si>
    <t>C2</t>
  </si>
  <si>
    <t>C3</t>
  </si>
  <si>
    <t>C4</t>
  </si>
  <si>
    <t>C5</t>
  </si>
  <si>
    <t>C6</t>
  </si>
  <si>
    <t>C7</t>
  </si>
  <si>
    <t>C8</t>
  </si>
  <si>
    <t>C9</t>
  </si>
  <si>
    <r>
      <t>X</t>
    </r>
    <r>
      <rPr>
        <b/>
        <vertAlign val="subscript"/>
        <sz val="12"/>
        <color theme="1"/>
        <rFont val="Calibri"/>
        <family val="2"/>
        <scheme val="minor"/>
      </rPr>
      <t>CO</t>
    </r>
  </si>
  <si>
    <t>→</t>
  </si>
  <si>
    <r>
      <t>GHSV [cm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/(h*g</t>
    </r>
    <r>
      <rPr>
        <b/>
        <vertAlign val="subscript"/>
        <sz val="12"/>
        <color theme="1"/>
        <rFont val="Calibri"/>
        <family val="2"/>
        <scheme val="minor"/>
      </rPr>
      <t>cat</t>
    </r>
    <r>
      <rPr>
        <b/>
        <sz val="12"/>
        <color theme="1"/>
        <rFont val="Calibri"/>
        <family val="2"/>
        <scheme val="minor"/>
      </rPr>
      <t>)]</t>
    </r>
  </si>
  <si>
    <t>Actual reaction conditions</t>
  </si>
  <si>
    <r>
      <t>H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/CO</t>
    </r>
  </si>
  <si>
    <r>
      <t>CO</t>
    </r>
    <r>
      <rPr>
        <b/>
        <vertAlign val="subscript"/>
        <sz val="12"/>
        <color theme="0"/>
        <rFont val="Calibri"/>
        <family val="2"/>
        <scheme val="minor"/>
      </rPr>
      <t>2</t>
    </r>
  </si>
  <si>
    <r>
      <t>CH</t>
    </r>
    <r>
      <rPr>
        <b/>
        <vertAlign val="subscript"/>
        <sz val="12"/>
        <color theme="1"/>
        <rFont val="Calibri"/>
        <family val="2"/>
        <scheme val="minor"/>
      </rPr>
      <t>4</t>
    </r>
  </si>
  <si>
    <t>Predicted STY</t>
  </si>
  <si>
    <t>Measured activity</t>
  </si>
  <si>
    <t>Measured selectivity</t>
  </si>
  <si>
    <t xml:space="preserve">Suggested composition </t>
  </si>
  <si>
    <t>Acquisition function</t>
  </si>
  <si>
    <t>C1 selectivity</t>
  </si>
  <si>
    <t>Predicted performance</t>
  </si>
  <si>
    <t>EHVI</t>
  </si>
  <si>
    <t>C9+</t>
  </si>
  <si>
    <t>C5+</t>
  </si>
  <si>
    <t>Seed</t>
  </si>
  <si>
    <t>C8+</t>
  </si>
  <si>
    <t>C10+</t>
  </si>
  <si>
    <t>C6+</t>
  </si>
  <si>
    <t>Suggested reaction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</si>
</sst>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1"/>
      <color theme="1"/>
      <name val="Calibri (Body)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Dotum"/>
      <family val="2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vertAlign val="subscript"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Aptos Narrow"/>
      <family val="2"/>
    </font>
    <font>
      <b/>
      <vertAlign val="subscript"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4292C4"/>
        <bgColor indexed="64"/>
      </patternFill>
    </fill>
    <fill>
      <patternFill patternType="solid">
        <fgColor rgb="FFA6CEE3"/>
        <bgColor indexed="64"/>
      </patternFill>
    </fill>
    <fill>
      <patternFill patternType="solid">
        <fgColor rgb="FFF3D8BC"/>
        <bgColor indexed="64"/>
      </patternFill>
    </fill>
    <fill>
      <patternFill patternType="solid">
        <fgColor rgb="FFFEAE5F"/>
        <bgColor indexed="64"/>
      </patternFill>
    </fill>
    <fill>
      <patternFill patternType="solid">
        <fgColor rgb="FFFF704E"/>
        <bgColor indexed="64"/>
      </patternFill>
    </fill>
    <fill>
      <patternFill patternType="solid">
        <fgColor rgb="FFCB181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/>
  </cellStyleXfs>
  <cellXfs count="112">
    <xf numFmtId="0" fontId="0" fillId="0" borderId="0" xfId="0"/>
    <xf numFmtId="0" fontId="6" fillId="0" borderId="0" xfId="2"/>
    <xf numFmtId="0" fontId="6" fillId="0" borderId="1" xfId="2" applyBorder="1"/>
    <xf numFmtId="0" fontId="8" fillId="0" borderId="0" xfId="2" applyFont="1"/>
    <xf numFmtId="0" fontId="1" fillId="4" borderId="0" xfId="2" applyFont="1" applyFill="1"/>
    <xf numFmtId="0" fontId="6" fillId="0" borderId="3" xfId="2" applyBorder="1"/>
    <xf numFmtId="164" fontId="9" fillId="6" borderId="8" xfId="0" applyNumberFormat="1" applyFont="1" applyFill="1" applyBorder="1" applyAlignment="1">
      <alignment horizontal="center" vertical="center"/>
    </xf>
    <xf numFmtId="0" fontId="6" fillId="0" borderId="7" xfId="2" applyBorder="1"/>
    <xf numFmtId="164" fontId="6" fillId="0" borderId="3" xfId="2" applyNumberFormat="1" applyBorder="1"/>
    <xf numFmtId="0" fontId="6" fillId="0" borderId="10" xfId="2" applyBorder="1"/>
    <xf numFmtId="0" fontId="6" fillId="0" borderId="0" xfId="2" applyAlignment="1">
      <alignment vertical="center"/>
    </xf>
    <xf numFmtId="0" fontId="12" fillId="3" borderId="0" xfId="2" applyFont="1" applyFill="1" applyAlignment="1">
      <alignment horizontal="center" vertical="center"/>
    </xf>
    <xf numFmtId="0" fontId="1" fillId="9" borderId="1" xfId="2" applyFont="1" applyFill="1" applyBorder="1" applyAlignment="1">
      <alignment horizontal="center" vertical="center"/>
    </xf>
    <xf numFmtId="0" fontId="1" fillId="10" borderId="1" xfId="2" applyFont="1" applyFill="1" applyBorder="1" applyAlignment="1">
      <alignment horizontal="center" vertical="center"/>
    </xf>
    <xf numFmtId="0" fontId="11" fillId="12" borderId="1" xfId="2" applyFont="1" applyFill="1" applyBorder="1" applyAlignment="1">
      <alignment horizontal="center" vertical="center"/>
    </xf>
    <xf numFmtId="0" fontId="6" fillId="0" borderId="1" xfId="2" applyBorder="1" applyAlignment="1">
      <alignment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64" fontId="1" fillId="2" borderId="4" xfId="2" applyNumberFormat="1" applyFont="1" applyFill="1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/>
    </xf>
    <xf numFmtId="0" fontId="1" fillId="8" borderId="1" xfId="2" applyFont="1" applyFill="1" applyBorder="1" applyAlignment="1">
      <alignment horizontal="center" vertical="center"/>
    </xf>
    <xf numFmtId="0" fontId="11" fillId="11" borderId="1" xfId="2" applyFont="1" applyFill="1" applyBorder="1" applyAlignment="1">
      <alignment horizontal="center" vertical="center"/>
    </xf>
    <xf numFmtId="0" fontId="11" fillId="13" borderId="3" xfId="2" applyFont="1" applyFill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6" fillId="0" borderId="10" xfId="2" applyBorder="1" applyAlignment="1">
      <alignment horizontal="center" vertical="center"/>
    </xf>
    <xf numFmtId="0" fontId="1" fillId="4" borderId="0" xfId="2" applyFont="1" applyFill="1" applyAlignment="1">
      <alignment vertical="center"/>
    </xf>
    <xf numFmtId="9" fontId="6" fillId="0" borderId="3" xfId="2" applyNumberFormat="1" applyBorder="1" applyAlignment="1">
      <alignment vertical="center"/>
    </xf>
    <xf numFmtId="9" fontId="6" fillId="0" borderId="0" xfId="2" applyNumberFormat="1" applyAlignment="1">
      <alignment vertical="center"/>
    </xf>
    <xf numFmtId="164" fontId="6" fillId="0" borderId="3" xfId="2" applyNumberFormat="1" applyBorder="1" applyAlignment="1">
      <alignment vertical="center"/>
    </xf>
    <xf numFmtId="2" fontId="6" fillId="0" borderId="0" xfId="2" applyNumberFormat="1" applyAlignment="1">
      <alignment vertical="center"/>
    </xf>
    <xf numFmtId="1" fontId="6" fillId="0" borderId="0" xfId="2" applyNumberFormat="1" applyAlignment="1">
      <alignment vertical="center"/>
    </xf>
    <xf numFmtId="1" fontId="6" fillId="0" borderId="7" xfId="2" applyNumberFormat="1" applyBorder="1" applyAlignment="1">
      <alignment vertical="center"/>
    </xf>
    <xf numFmtId="165" fontId="6" fillId="0" borderId="3" xfId="2" applyNumberFormat="1" applyBorder="1" applyAlignment="1">
      <alignment vertical="center"/>
    </xf>
    <xf numFmtId="165" fontId="6" fillId="0" borderId="0" xfId="2" applyNumberFormat="1" applyAlignment="1">
      <alignment vertical="center"/>
    </xf>
    <xf numFmtId="164" fontId="6" fillId="0" borderId="0" xfId="2" applyNumberFormat="1" applyAlignment="1">
      <alignment vertical="center"/>
    </xf>
    <xf numFmtId="165" fontId="6" fillId="0" borderId="3" xfId="1" applyNumberFormat="1" applyFont="1" applyBorder="1" applyAlignment="1">
      <alignment vertical="center"/>
    </xf>
    <xf numFmtId="165" fontId="6" fillId="0" borderId="0" xfId="1" applyNumberFormat="1" applyFont="1" applyBorder="1" applyAlignment="1">
      <alignment vertical="center"/>
    </xf>
    <xf numFmtId="165" fontId="6" fillId="0" borderId="0" xfId="1" applyNumberFormat="1" applyFont="1" applyAlignment="1">
      <alignment vertical="center"/>
    </xf>
    <xf numFmtId="9" fontId="6" fillId="0" borderId="4" xfId="2" applyNumberFormat="1" applyBorder="1" applyAlignment="1">
      <alignment vertical="center"/>
    </xf>
    <xf numFmtId="9" fontId="6" fillId="0" borderId="1" xfId="2" applyNumberFormat="1" applyBorder="1" applyAlignment="1">
      <alignment vertical="center"/>
    </xf>
    <xf numFmtId="164" fontId="6" fillId="0" borderId="4" xfId="2" applyNumberFormat="1" applyBorder="1" applyAlignment="1">
      <alignment vertical="center"/>
    </xf>
    <xf numFmtId="2" fontId="6" fillId="0" borderId="1" xfId="2" applyNumberFormat="1" applyBorder="1" applyAlignment="1">
      <alignment vertical="center"/>
    </xf>
    <xf numFmtId="1" fontId="6" fillId="0" borderId="1" xfId="2" applyNumberFormat="1" applyBorder="1" applyAlignment="1">
      <alignment vertical="center"/>
    </xf>
    <xf numFmtId="1" fontId="6" fillId="0" borderId="8" xfId="2" applyNumberFormat="1" applyBorder="1" applyAlignment="1">
      <alignment vertical="center"/>
    </xf>
    <xf numFmtId="165" fontId="6" fillId="0" borderId="4" xfId="2" applyNumberFormat="1" applyBorder="1" applyAlignment="1">
      <alignment vertical="center"/>
    </xf>
    <xf numFmtId="165" fontId="6" fillId="0" borderId="1" xfId="2" applyNumberFormat="1" applyBorder="1" applyAlignment="1">
      <alignment vertical="center"/>
    </xf>
    <xf numFmtId="164" fontId="6" fillId="0" borderId="1" xfId="2" applyNumberFormat="1" applyBorder="1" applyAlignment="1">
      <alignment vertical="center"/>
    </xf>
    <xf numFmtId="165" fontId="6" fillId="0" borderId="4" xfId="1" applyNumberFormat="1" applyFont="1" applyBorder="1" applyAlignment="1">
      <alignment vertical="center"/>
    </xf>
    <xf numFmtId="165" fontId="6" fillId="0" borderId="1" xfId="1" applyNumberFormat="1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2" xfId="2" applyBorder="1" applyAlignment="1">
      <alignment vertical="center"/>
    </xf>
    <xf numFmtId="165" fontId="6" fillId="0" borderId="8" xfId="2" applyNumberFormat="1" applyBorder="1" applyAlignment="1">
      <alignment vertical="center"/>
    </xf>
    <xf numFmtId="0" fontId="1" fillId="4" borderId="2" xfId="2" applyFont="1" applyFill="1" applyBorder="1" applyAlignment="1">
      <alignment vertical="center"/>
    </xf>
    <xf numFmtId="9" fontId="6" fillId="0" borderId="5" xfId="2" applyNumberFormat="1" applyBorder="1" applyAlignment="1">
      <alignment vertical="center"/>
    </xf>
    <xf numFmtId="9" fontId="6" fillId="0" borderId="2" xfId="2" applyNumberFormat="1" applyBorder="1" applyAlignment="1">
      <alignment vertical="center"/>
    </xf>
    <xf numFmtId="2" fontId="6" fillId="0" borderId="2" xfId="2" applyNumberFormat="1" applyBorder="1" applyAlignment="1">
      <alignment vertical="center"/>
    </xf>
    <xf numFmtId="165" fontId="6" fillId="0" borderId="5" xfId="2" applyNumberFormat="1" applyBorder="1" applyAlignment="1">
      <alignment vertical="center"/>
    </xf>
    <xf numFmtId="165" fontId="6" fillId="0" borderId="2" xfId="2" applyNumberFormat="1" applyBorder="1" applyAlignment="1">
      <alignment vertical="center"/>
    </xf>
    <xf numFmtId="164" fontId="6" fillId="0" borderId="2" xfId="2" applyNumberFormat="1" applyBorder="1" applyAlignment="1">
      <alignment vertical="center"/>
    </xf>
    <xf numFmtId="1" fontId="6" fillId="0" borderId="2" xfId="2" applyNumberFormat="1" applyBorder="1" applyAlignment="1">
      <alignment vertical="center"/>
    </xf>
    <xf numFmtId="165" fontId="6" fillId="0" borderId="10" xfId="2" applyNumberFormat="1" applyBorder="1" applyAlignment="1">
      <alignment vertical="center"/>
    </xf>
    <xf numFmtId="165" fontId="6" fillId="0" borderId="6" xfId="2" applyNumberFormat="1" applyBorder="1" applyAlignment="1">
      <alignment vertical="center"/>
    </xf>
    <xf numFmtId="0" fontId="0" fillId="0" borderId="0" xfId="0" applyAlignment="1">
      <alignment vertical="center"/>
    </xf>
    <xf numFmtId="0" fontId="6" fillId="0" borderId="3" xfId="2" applyBorder="1" applyAlignment="1">
      <alignment vertical="center"/>
    </xf>
    <xf numFmtId="0" fontId="1" fillId="14" borderId="7" xfId="2" applyFont="1" applyFill="1" applyBorder="1" applyAlignment="1">
      <alignment horizontal="center" vertical="center"/>
    </xf>
    <xf numFmtId="0" fontId="1" fillId="15" borderId="4" xfId="2" applyFont="1" applyFill="1" applyBorder="1" applyAlignment="1">
      <alignment horizontal="center" vertical="center"/>
    </xf>
    <xf numFmtId="0" fontId="1" fillId="15" borderId="1" xfId="2" applyFont="1" applyFill="1" applyBorder="1" applyAlignment="1">
      <alignment horizontal="center" vertical="center"/>
    </xf>
    <xf numFmtId="164" fontId="1" fillId="15" borderId="4" xfId="2" applyNumberFormat="1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6" fillId="0" borderId="10" xfId="2" applyBorder="1" applyAlignment="1">
      <alignment vertical="center"/>
    </xf>
    <xf numFmtId="0" fontId="6" fillId="0" borderId="7" xfId="2" applyBorder="1" applyAlignment="1">
      <alignment vertical="center"/>
    </xf>
    <xf numFmtId="0" fontId="6" fillId="0" borderId="4" xfId="2" applyBorder="1" applyAlignment="1">
      <alignment vertical="center"/>
    </xf>
    <xf numFmtId="164" fontId="6" fillId="0" borderId="5" xfId="2" applyNumberFormat="1" applyBorder="1" applyAlignment="1">
      <alignment vertical="center"/>
    </xf>
    <xf numFmtId="1" fontId="6" fillId="0" borderId="3" xfId="2" applyNumberFormat="1" applyBorder="1" applyAlignment="1">
      <alignment vertical="center"/>
    </xf>
    <xf numFmtId="1" fontId="6" fillId="0" borderId="4" xfId="2" applyNumberFormat="1" applyBorder="1" applyAlignment="1">
      <alignment vertical="center"/>
    </xf>
    <xf numFmtId="1" fontId="6" fillId="0" borderId="5" xfId="2" applyNumberFormat="1" applyBorder="1" applyAlignment="1">
      <alignment vertical="center"/>
    </xf>
    <xf numFmtId="164" fontId="1" fillId="15" borderId="0" xfId="2" applyNumberFormat="1" applyFont="1" applyFill="1" applyAlignment="1">
      <alignment horizontal="center" vertical="center"/>
    </xf>
    <xf numFmtId="0" fontId="6" fillId="0" borderId="5" xfId="2" applyBorder="1" applyAlignment="1">
      <alignment vertical="center"/>
    </xf>
    <xf numFmtId="9" fontId="6" fillId="0" borderId="6" xfId="2" applyNumberFormat="1" applyBorder="1" applyAlignment="1">
      <alignment vertical="center"/>
    </xf>
    <xf numFmtId="9" fontId="6" fillId="0" borderId="10" xfId="2" applyNumberFormat="1" applyBorder="1" applyAlignment="1">
      <alignment vertical="center"/>
    </xf>
    <xf numFmtId="164" fontId="1" fillId="15" borderId="8" xfId="2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16" borderId="0" xfId="2" applyFont="1" applyFill="1" applyAlignment="1">
      <alignment horizontal="center" vertical="center"/>
    </xf>
    <xf numFmtId="0" fontId="1" fillId="16" borderId="1" xfId="2" applyFont="1" applyFill="1" applyBorder="1" applyAlignment="1">
      <alignment horizontal="center" vertical="center"/>
    </xf>
    <xf numFmtId="0" fontId="11" fillId="12" borderId="4" xfId="2" applyFont="1" applyFill="1" applyBorder="1" applyAlignment="1">
      <alignment horizontal="center" vertical="center"/>
    </xf>
    <xf numFmtId="0" fontId="11" fillId="12" borderId="1" xfId="2" applyFont="1" applyFill="1" applyBorder="1" applyAlignment="1">
      <alignment horizontal="center" vertical="center"/>
    </xf>
    <xf numFmtId="164" fontId="1" fillId="3" borderId="3" xfId="2" applyNumberFormat="1" applyFont="1" applyFill="1" applyBorder="1" applyAlignment="1">
      <alignment horizontal="center" vertical="center"/>
    </xf>
    <xf numFmtId="164" fontId="1" fillId="3" borderId="10" xfId="2" applyNumberFormat="1" applyFont="1" applyFill="1" applyBorder="1" applyAlignment="1">
      <alignment horizontal="center" vertical="center"/>
    </xf>
    <xf numFmtId="164" fontId="1" fillId="3" borderId="0" xfId="2" applyNumberFormat="1" applyFont="1" applyFill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0" xfId="2" applyFont="1" applyFill="1" applyAlignment="1">
      <alignment horizontal="center" vertical="center"/>
    </xf>
    <xf numFmtId="0" fontId="1" fillId="9" borderId="4" xfId="2" applyFont="1" applyFill="1" applyBorder="1" applyAlignment="1">
      <alignment horizontal="center" vertical="center"/>
    </xf>
    <xf numFmtId="0" fontId="1" fillId="9" borderId="1" xfId="2" applyFont="1" applyFill="1" applyBorder="1" applyAlignment="1">
      <alignment horizontal="center" vertical="center"/>
    </xf>
    <xf numFmtId="0" fontId="1" fillId="10" borderId="4" xfId="2" applyFont="1" applyFill="1" applyBorder="1" applyAlignment="1">
      <alignment horizontal="center" vertical="center"/>
    </xf>
    <xf numFmtId="0" fontId="1" fillId="10" borderId="1" xfId="2" applyFont="1" applyFill="1" applyBorder="1" applyAlignment="1">
      <alignment horizontal="center" vertical="center"/>
    </xf>
    <xf numFmtId="0" fontId="1" fillId="16" borderId="10" xfId="2" applyFont="1" applyFill="1" applyBorder="1" applyAlignment="1">
      <alignment horizontal="center" vertical="center"/>
    </xf>
    <xf numFmtId="0" fontId="1" fillId="16" borderId="6" xfId="2" applyFont="1" applyFill="1" applyBorder="1" applyAlignment="1">
      <alignment horizontal="center" vertical="center"/>
    </xf>
    <xf numFmtId="0" fontId="1" fillId="14" borderId="3" xfId="2" applyFont="1" applyFill="1" applyBorder="1" applyAlignment="1">
      <alignment horizontal="center" vertical="center"/>
    </xf>
    <xf numFmtId="0" fontId="1" fillId="14" borderId="0" xfId="2" applyFont="1" applyFill="1" applyAlignment="1">
      <alignment horizontal="center" vertical="center"/>
    </xf>
    <xf numFmtId="0" fontId="1" fillId="16" borderId="7" xfId="2" applyFont="1" applyFill="1" applyBorder="1" applyAlignment="1">
      <alignment horizontal="center" vertical="center" wrapText="1"/>
    </xf>
    <xf numFmtId="0" fontId="1" fillId="16" borderId="8" xfId="2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64" fontId="9" fillId="6" borderId="8" xfId="0" applyNumberFormat="1" applyFont="1" applyFill="1" applyBorder="1" applyAlignment="1">
      <alignment horizontal="center" vertical="center"/>
    </xf>
    <xf numFmtId="0" fontId="1" fillId="9" borderId="6" xfId="2" applyFont="1" applyFill="1" applyBorder="1" applyAlignment="1">
      <alignment horizontal="center" vertical="center"/>
    </xf>
    <xf numFmtId="164" fontId="9" fillId="6" borderId="9" xfId="0" applyNumberFormat="1" applyFont="1" applyFill="1" applyBorder="1" applyAlignment="1">
      <alignment horizontal="center" vertical="center"/>
    </xf>
    <xf numFmtId="164" fontId="9" fillId="17" borderId="9" xfId="0" applyNumberFormat="1" applyFont="1" applyFill="1" applyBorder="1" applyAlignment="1">
      <alignment horizontal="center" vertical="center"/>
    </xf>
    <xf numFmtId="164" fontId="9" fillId="17" borderId="7" xfId="0" applyNumberFormat="1" applyFont="1" applyFill="1" applyBorder="1" applyAlignment="1">
      <alignment horizontal="center" vertical="center"/>
    </xf>
    <xf numFmtId="164" fontId="9" fillId="17" borderId="8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colors>
    <mruColors>
      <color rgb="FFCB181D"/>
      <color rgb="FFFF704E"/>
      <color rgb="FFFEAE5F"/>
      <color rgb="FFF3D8BC"/>
      <color rgb="FFA6CEE3"/>
      <color rgb="FF429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zoomScale="70" zoomScaleNormal="70" workbookViewId="0">
      <pane ySplit="2" topLeftCell="A3" activePane="bottomLeft" state="frozen"/>
      <selection pane="bottomLeft"/>
    </sheetView>
  </sheetViews>
  <sheetFormatPr defaultColWidth="9.140625" defaultRowHeight="15.75" x14ac:dyDescent="0.25"/>
  <cols>
    <col min="1" max="2" width="9.140625" style="1"/>
    <col min="3" max="3" width="9.140625" style="5"/>
    <col min="4" max="6" width="9.140625" style="1"/>
    <col min="7" max="7" width="9.140625" style="5"/>
    <col min="8" max="8" width="9.140625" style="1"/>
    <col min="9" max="9" width="20.28515625" style="1" customWidth="1"/>
    <col min="10" max="10" width="20" style="8" bestFit="1" customWidth="1"/>
    <col min="11" max="11" width="15.28515625" style="1" bestFit="1" customWidth="1"/>
    <col min="12" max="12" width="9.140625" style="5"/>
    <col min="13" max="17" width="9.140625" style="1"/>
    <col min="18" max="19" width="9.140625" style="5"/>
    <col min="20" max="26" width="9.140625" style="1"/>
    <col min="27" max="27" width="9.140625" style="5"/>
    <col min="28" max="33" width="9.140625" style="1"/>
    <col min="34" max="34" width="9.140625" style="5"/>
    <col min="35" max="36" width="9.140625" style="1"/>
    <col min="37" max="37" width="9.140625" style="9"/>
    <col min="38" max="16384" width="9.140625" style="1"/>
  </cols>
  <sheetData>
    <row r="1" spans="1:37" ht="15.75" customHeight="1" x14ac:dyDescent="0.25">
      <c r="B1" s="84" t="s">
        <v>11</v>
      </c>
      <c r="C1" s="91" t="s">
        <v>19</v>
      </c>
      <c r="D1" s="92"/>
      <c r="E1" s="92"/>
      <c r="F1" s="92"/>
      <c r="G1" s="91" t="s">
        <v>32</v>
      </c>
      <c r="H1" s="92"/>
      <c r="I1" s="92"/>
      <c r="J1" s="88" t="s">
        <v>37</v>
      </c>
      <c r="K1" s="89"/>
      <c r="L1" s="88" t="s">
        <v>38</v>
      </c>
      <c r="M1" s="90"/>
      <c r="N1" s="90"/>
      <c r="O1" s="90"/>
      <c r="P1" s="90"/>
      <c r="Q1" s="90"/>
      <c r="R1" s="11" t="s">
        <v>30</v>
      </c>
      <c r="S1" s="93" t="s">
        <v>6</v>
      </c>
      <c r="T1" s="94"/>
      <c r="U1" s="94"/>
      <c r="V1" s="94"/>
      <c r="W1" s="94"/>
      <c r="X1" s="94"/>
      <c r="Y1" s="94"/>
      <c r="Z1" s="94"/>
      <c r="AA1" s="95" t="s">
        <v>5</v>
      </c>
      <c r="AB1" s="96"/>
      <c r="AC1" s="96"/>
      <c r="AD1" s="96"/>
      <c r="AE1" s="96"/>
      <c r="AF1" s="96"/>
      <c r="AG1" s="96"/>
      <c r="AH1" s="86" t="s">
        <v>8</v>
      </c>
      <c r="AI1" s="87"/>
      <c r="AJ1" s="87"/>
      <c r="AK1" s="87"/>
    </row>
    <row r="2" spans="1:37" ht="18.75" x14ac:dyDescent="0.25">
      <c r="A2" s="2"/>
      <c r="B2" s="85"/>
      <c r="C2" s="16" t="s">
        <v>0</v>
      </c>
      <c r="D2" s="17" t="s">
        <v>1</v>
      </c>
      <c r="E2" s="17" t="s">
        <v>2</v>
      </c>
      <c r="F2" s="17" t="s">
        <v>3</v>
      </c>
      <c r="G2" s="16" t="s">
        <v>4</v>
      </c>
      <c r="H2" s="17" t="s">
        <v>33</v>
      </c>
      <c r="I2" s="17" t="s">
        <v>31</v>
      </c>
      <c r="J2" s="18" t="s">
        <v>20</v>
      </c>
      <c r="K2" s="19" t="s">
        <v>29</v>
      </c>
      <c r="L2" s="20" t="s">
        <v>34</v>
      </c>
      <c r="M2" s="21" t="s">
        <v>35</v>
      </c>
      <c r="N2" s="12" t="s">
        <v>6</v>
      </c>
      <c r="O2" s="13" t="s">
        <v>5</v>
      </c>
      <c r="P2" s="22" t="s">
        <v>7</v>
      </c>
      <c r="Q2" s="14" t="s">
        <v>8</v>
      </c>
      <c r="R2" s="23" t="s">
        <v>9</v>
      </c>
      <c r="S2" s="24" t="s">
        <v>21</v>
      </c>
      <c r="T2" s="25" t="s">
        <v>22</v>
      </c>
      <c r="U2" s="25" t="s">
        <v>23</v>
      </c>
      <c r="V2" s="25" t="s">
        <v>24</v>
      </c>
      <c r="W2" s="25" t="s">
        <v>25</v>
      </c>
      <c r="X2" s="25" t="s">
        <v>26</v>
      </c>
      <c r="Y2" s="25" t="s">
        <v>27</v>
      </c>
      <c r="Z2" s="25" t="s">
        <v>44</v>
      </c>
      <c r="AA2" s="24" t="s">
        <v>21</v>
      </c>
      <c r="AB2" s="25" t="s">
        <v>22</v>
      </c>
      <c r="AC2" s="25" t="s">
        <v>23</v>
      </c>
      <c r="AD2" s="25" t="s">
        <v>24</v>
      </c>
      <c r="AE2" s="25" t="s">
        <v>25</v>
      </c>
      <c r="AF2" s="25" t="s">
        <v>26</v>
      </c>
      <c r="AG2" s="25" t="s">
        <v>47</v>
      </c>
      <c r="AH2" s="24" t="s">
        <v>21</v>
      </c>
      <c r="AI2" s="25" t="s">
        <v>22</v>
      </c>
      <c r="AJ2" s="25" t="s">
        <v>23</v>
      </c>
      <c r="AK2" s="26" t="s">
        <v>45</v>
      </c>
    </row>
    <row r="3" spans="1:37" x14ac:dyDescent="0.25">
      <c r="A3" s="4" t="s">
        <v>46</v>
      </c>
      <c r="B3" s="1">
        <v>1</v>
      </c>
      <c r="C3" s="34">
        <v>0.129</v>
      </c>
      <c r="D3" s="35">
        <v>0</v>
      </c>
      <c r="E3" s="35">
        <v>0</v>
      </c>
      <c r="F3" s="35">
        <v>0.871</v>
      </c>
      <c r="G3" s="30">
        <v>260</v>
      </c>
      <c r="H3" s="31">
        <v>2</v>
      </c>
      <c r="I3" s="10">
        <v>24000</v>
      </c>
      <c r="J3" s="30">
        <v>236.6820034200716</v>
      </c>
      <c r="K3" s="35">
        <v>0.46512289917266414</v>
      </c>
      <c r="L3" s="58">
        <v>0.21707326486314965</v>
      </c>
      <c r="M3" s="35">
        <v>0.14251309255775069</v>
      </c>
      <c r="N3" s="35">
        <v>0.26262491420202344</v>
      </c>
      <c r="O3" s="35">
        <v>0.28094351273252394</v>
      </c>
      <c r="P3" s="35">
        <v>2.5158795874169484E-2</v>
      </c>
      <c r="Q3" s="35">
        <v>7.1686419770382717E-2</v>
      </c>
      <c r="R3" s="34">
        <f t="shared" ref="R3:R33" si="0">L3+M3</f>
        <v>0.35958635742090034</v>
      </c>
      <c r="S3" s="34">
        <v>6.7576798744551317E-2</v>
      </c>
      <c r="T3" s="35">
        <v>4.2478480799144382E-2</v>
      </c>
      <c r="U3" s="35">
        <v>2.9678126670813067E-2</v>
      </c>
      <c r="V3" s="35">
        <v>3.6329676112725751E-2</v>
      </c>
      <c r="W3" s="35">
        <v>2.8538801165344446E-2</v>
      </c>
      <c r="X3" s="35">
        <v>2.5758247345925401E-2</v>
      </c>
      <c r="Y3" s="35">
        <v>2.0865153595146079E-2</v>
      </c>
      <c r="Z3" s="35">
        <v>1.1399629768373077E-2</v>
      </c>
      <c r="AA3" s="34">
        <v>2.2753987703405098E-2</v>
      </c>
      <c r="AB3" s="35">
        <v>9.2235905333862458E-2</v>
      </c>
      <c r="AC3" s="35">
        <v>6.3214332854026126E-2</v>
      </c>
      <c r="AD3" s="35">
        <v>5.1744145937506446E-2</v>
      </c>
      <c r="AE3" s="35">
        <v>2.6080231821101498E-2</v>
      </c>
      <c r="AF3" s="35">
        <v>1.5422648292764045E-2</v>
      </c>
      <c r="AG3" s="35">
        <v>9.4922607898583703E-3</v>
      </c>
      <c r="AH3" s="34">
        <v>3.9791670600274165E-2</v>
      </c>
      <c r="AI3" s="35">
        <v>2.1424303299232967E-2</v>
      </c>
      <c r="AJ3" s="35">
        <v>7.161179506901586E-3</v>
      </c>
      <c r="AK3" s="62">
        <v>3.3092663639740349E-3</v>
      </c>
    </row>
    <row r="4" spans="1:37" x14ac:dyDescent="0.25">
      <c r="B4" s="1">
        <v>2</v>
      </c>
      <c r="C4" s="34">
        <v>0.13500000000000001</v>
      </c>
      <c r="D4" s="35">
        <v>0</v>
      </c>
      <c r="E4" s="35">
        <v>0.185</v>
      </c>
      <c r="F4" s="35">
        <v>0.68</v>
      </c>
      <c r="G4" s="30">
        <v>260</v>
      </c>
      <c r="H4" s="31">
        <v>2</v>
      </c>
      <c r="I4" s="10">
        <v>24000</v>
      </c>
      <c r="J4" s="30">
        <v>294.04080478748028</v>
      </c>
      <c r="K4" s="35">
        <v>0.30358314883046961</v>
      </c>
      <c r="L4" s="34">
        <v>0.13112845703679238</v>
      </c>
      <c r="M4" s="35">
        <v>0.22839830301643882</v>
      </c>
      <c r="N4" s="35">
        <v>0.27928363648389398</v>
      </c>
      <c r="O4" s="35">
        <v>0.1580542151398483</v>
      </c>
      <c r="P4" s="35">
        <v>6.5514679632811781E-2</v>
      </c>
      <c r="Q4" s="35">
        <v>0.13762070869021426</v>
      </c>
      <c r="R4" s="34">
        <f t="shared" si="0"/>
        <v>0.3595267600532312</v>
      </c>
      <c r="S4" s="34">
        <v>0.10634835190378877</v>
      </c>
      <c r="T4" s="35">
        <v>5.9384641956798788E-2</v>
      </c>
      <c r="U4" s="35">
        <v>4.2175446652525317E-2</v>
      </c>
      <c r="V4" s="35">
        <v>2.6553176459067813E-2</v>
      </c>
      <c r="W4" s="35">
        <v>1.7846350926169138E-2</v>
      </c>
      <c r="X4" s="35">
        <v>1.3120465170633958E-2</v>
      </c>
      <c r="Y4" s="35">
        <v>9.3429224154468627E-3</v>
      </c>
      <c r="Z4" s="35">
        <v>4.5122809994633545E-3</v>
      </c>
      <c r="AA4" s="34">
        <v>1.2218001350526607E-2</v>
      </c>
      <c r="AB4" s="35">
        <v>7.4549835826683633E-2</v>
      </c>
      <c r="AC4" s="35">
        <v>3.581856136598327E-2</v>
      </c>
      <c r="AD4" s="35">
        <v>2.1961143983959767E-2</v>
      </c>
      <c r="AE4" s="35">
        <v>8.2218952344471977E-3</v>
      </c>
      <c r="AF4" s="35">
        <v>3.4673395036067321E-3</v>
      </c>
      <c r="AG4" s="35">
        <v>1.8174378746411216E-3</v>
      </c>
      <c r="AH4" s="34">
        <v>8.0941270244453564E-2</v>
      </c>
      <c r="AI4" s="35">
        <v>3.6672379094962487E-2</v>
      </c>
      <c r="AJ4" s="35">
        <v>1.3564494720010083E-2</v>
      </c>
      <c r="AK4" s="62">
        <v>6.4425646307881236E-3</v>
      </c>
    </row>
    <row r="5" spans="1:37" x14ac:dyDescent="0.25">
      <c r="B5" s="1">
        <v>3</v>
      </c>
      <c r="C5" s="34">
        <v>0.115</v>
      </c>
      <c r="D5" s="35">
        <v>0</v>
      </c>
      <c r="E5" s="35">
        <v>0.315</v>
      </c>
      <c r="F5" s="35">
        <v>0.56999999999999995</v>
      </c>
      <c r="G5" s="30">
        <v>260</v>
      </c>
      <c r="H5" s="31">
        <v>2</v>
      </c>
      <c r="I5" s="10">
        <v>24000</v>
      </c>
      <c r="J5" s="30">
        <v>281.27355937373653</v>
      </c>
      <c r="K5" s="35">
        <v>0.34730427870883607</v>
      </c>
      <c r="L5" s="34">
        <v>0.15215544223003666</v>
      </c>
      <c r="M5" s="35">
        <v>0.19526116311411013</v>
      </c>
      <c r="N5" s="35">
        <v>0.29050770046059649</v>
      </c>
      <c r="O5" s="35">
        <v>0.1949176434619535</v>
      </c>
      <c r="P5" s="35">
        <v>4.534683948831611E-2</v>
      </c>
      <c r="Q5" s="35">
        <v>0.12181121124498702</v>
      </c>
      <c r="R5" s="34">
        <f t="shared" si="0"/>
        <v>0.34741660534414676</v>
      </c>
      <c r="S5" s="34">
        <v>0.10534821935045875</v>
      </c>
      <c r="T5" s="35">
        <v>6.1803856225423982E-2</v>
      </c>
      <c r="U5" s="35">
        <v>4.4544933415471111E-2</v>
      </c>
      <c r="V5" s="35">
        <v>2.9151509047045332E-2</v>
      </c>
      <c r="W5" s="35">
        <v>2.0052431367645913E-2</v>
      </c>
      <c r="X5" s="35">
        <v>1.4854908268966724E-2</v>
      </c>
      <c r="Y5" s="35">
        <v>1.0264569141257117E-2</v>
      </c>
      <c r="Z5" s="35">
        <v>4.4872736443275748E-3</v>
      </c>
      <c r="AA5" s="34">
        <v>1.3757503496693685E-2</v>
      </c>
      <c r="AB5" s="35">
        <v>8.9340829325362234E-2</v>
      </c>
      <c r="AC5" s="35">
        <v>4.5871951477962414E-2</v>
      </c>
      <c r="AD5" s="35">
        <v>2.7719001017826206E-2</v>
      </c>
      <c r="AE5" s="35">
        <v>1.1024442109965775E-2</v>
      </c>
      <c r="AF5" s="35">
        <v>4.8182512464341595E-3</v>
      </c>
      <c r="AG5" s="35">
        <v>2.3856647877090365E-3</v>
      </c>
      <c r="AH5" s="34">
        <v>6.2876409198384775E-2</v>
      </c>
      <c r="AI5" s="35">
        <v>3.6850225431138799E-2</v>
      </c>
      <c r="AJ5" s="35">
        <v>1.5231885754402763E-2</v>
      </c>
      <c r="AK5" s="62">
        <v>6.8526908610606731E-3</v>
      </c>
    </row>
    <row r="6" spans="1:37" x14ac:dyDescent="0.25">
      <c r="B6" s="1">
        <v>4</v>
      </c>
      <c r="C6" s="34">
        <v>0.11699999999999999</v>
      </c>
      <c r="D6" s="35">
        <v>0</v>
      </c>
      <c r="E6" s="35">
        <v>0.46</v>
      </c>
      <c r="F6" s="35">
        <v>0.42299999999999999</v>
      </c>
      <c r="G6" s="30">
        <v>260</v>
      </c>
      <c r="H6" s="31">
        <v>2</v>
      </c>
      <c r="I6" s="10">
        <v>24000</v>
      </c>
      <c r="J6" s="30">
        <v>243.32140161990347</v>
      </c>
      <c r="K6" s="35">
        <v>0.35606927928497506</v>
      </c>
      <c r="L6" s="34">
        <v>0.13575410090040285</v>
      </c>
      <c r="M6" s="35">
        <v>0.1682291931683377</v>
      </c>
      <c r="N6" s="35">
        <v>0.27729803827595451</v>
      </c>
      <c r="O6" s="35">
        <v>0.28652828441312789</v>
      </c>
      <c r="P6" s="35">
        <v>2.60485604721169E-2</v>
      </c>
      <c r="Q6" s="35">
        <v>0.10614182277006022</v>
      </c>
      <c r="R6" s="34">
        <f t="shared" si="0"/>
        <v>0.30398329406874058</v>
      </c>
      <c r="S6" s="34">
        <v>0.11233863497659129</v>
      </c>
      <c r="T6" s="35">
        <v>5.7809322709991305E-2</v>
      </c>
      <c r="U6" s="35">
        <v>4.2510819873860628E-2</v>
      </c>
      <c r="V6" s="35">
        <v>2.5401393950723061E-2</v>
      </c>
      <c r="W6" s="35">
        <v>1.6748234340862377E-2</v>
      </c>
      <c r="X6" s="35">
        <v>1.1393797450559712E-2</v>
      </c>
      <c r="Y6" s="35">
        <v>8.019762981675586E-3</v>
      </c>
      <c r="Z6" s="35">
        <v>3.0760719916905432E-3</v>
      </c>
      <c r="AA6" s="34">
        <v>2.9589252065548962E-2</v>
      </c>
      <c r="AB6" s="35">
        <v>0.13891757048049438</v>
      </c>
      <c r="AC6" s="35">
        <v>6.9566452017597771E-2</v>
      </c>
      <c r="AD6" s="35">
        <v>3.8422800440922743E-2</v>
      </c>
      <c r="AE6" s="35">
        <v>5.4035608019547534E-3</v>
      </c>
      <c r="AF6" s="35">
        <v>2.8530183244504293E-3</v>
      </c>
      <c r="AG6" s="35">
        <v>1.7756302821588705E-3</v>
      </c>
      <c r="AH6" s="34">
        <v>4.0933246185472831E-2</v>
      </c>
      <c r="AI6" s="35">
        <v>4.1164879313847456E-2</v>
      </c>
      <c r="AJ6" s="35">
        <v>1.7767900030664377E-2</v>
      </c>
      <c r="AK6" s="62">
        <v>6.2757972400755459E-3</v>
      </c>
    </row>
    <row r="7" spans="1:37" x14ac:dyDescent="0.25">
      <c r="B7" s="1">
        <v>5</v>
      </c>
      <c r="C7" s="34">
        <v>0.125</v>
      </c>
      <c r="D7" s="35">
        <v>0</v>
      </c>
      <c r="E7" s="35">
        <v>0.60699999999999998</v>
      </c>
      <c r="F7" s="35">
        <v>0.26800000000000002</v>
      </c>
      <c r="G7" s="30">
        <v>260</v>
      </c>
      <c r="H7" s="31">
        <v>2</v>
      </c>
      <c r="I7" s="10">
        <v>24000</v>
      </c>
      <c r="J7" s="30">
        <v>161.81533278778682</v>
      </c>
      <c r="K7" s="35">
        <v>0.6805278060687262</v>
      </c>
      <c r="L7" s="34">
        <v>0.10534487918466517</v>
      </c>
      <c r="M7" s="35">
        <v>0.16565883141158463</v>
      </c>
      <c r="N7" s="35">
        <v>0.37928311490469724</v>
      </c>
      <c r="O7" s="35">
        <v>0.30216765158267905</v>
      </c>
      <c r="P7" s="35">
        <v>8.9179942457972214E-3</v>
      </c>
      <c r="Q7" s="35">
        <v>3.8627528670577116E-2</v>
      </c>
      <c r="R7" s="34">
        <f t="shared" si="0"/>
        <v>0.27100371059624984</v>
      </c>
      <c r="S7" s="34">
        <v>5.983779488584471E-2</v>
      </c>
      <c r="T7" s="35">
        <v>6.8502193130295347E-2</v>
      </c>
      <c r="U7" s="35">
        <v>6.6063682384205624E-2</v>
      </c>
      <c r="V7" s="35">
        <v>5.4497274822177338E-2</v>
      </c>
      <c r="W7" s="35">
        <v>4.8127089293115127E-2</v>
      </c>
      <c r="X7" s="35">
        <v>4.2153476609031203E-2</v>
      </c>
      <c r="Y7" s="35">
        <v>3.2692071059333347E-2</v>
      </c>
      <c r="Z7" s="35">
        <v>7.4095327206945612E-3</v>
      </c>
      <c r="AA7" s="34">
        <v>3.9428174242636411E-3</v>
      </c>
      <c r="AB7" s="35">
        <v>0.10472518397906698</v>
      </c>
      <c r="AC7" s="35">
        <v>7.2866984574423505E-2</v>
      </c>
      <c r="AD7" s="35">
        <v>5.6975940796488433E-2</v>
      </c>
      <c r="AE7" s="35">
        <v>3.2530373105260017E-2</v>
      </c>
      <c r="AF7" s="35">
        <v>1.9666552780357099E-2</v>
      </c>
      <c r="AG7" s="35">
        <v>1.1459798922819358E-2</v>
      </c>
      <c r="AH7" s="34">
        <v>1.5240113245346326E-2</v>
      </c>
      <c r="AI7" s="35">
        <v>1.0794826758486514E-2</v>
      </c>
      <c r="AJ7" s="35">
        <v>8.6896806747719657E-3</v>
      </c>
      <c r="AK7" s="62">
        <v>3.9029079919723065E-3</v>
      </c>
    </row>
    <row r="8" spans="1:37" x14ac:dyDescent="0.25">
      <c r="B8" s="1">
        <v>6</v>
      </c>
      <c r="C8" s="34">
        <v>0.127</v>
      </c>
      <c r="D8" s="35">
        <v>0</v>
      </c>
      <c r="E8" s="35">
        <v>0.71099999999999997</v>
      </c>
      <c r="F8" s="35">
        <v>0.16200000000000001</v>
      </c>
      <c r="G8" s="30">
        <v>260</v>
      </c>
      <c r="H8" s="31">
        <v>2</v>
      </c>
      <c r="I8" s="10">
        <v>24000</v>
      </c>
      <c r="J8" s="30">
        <v>99.863131174220669</v>
      </c>
      <c r="K8" s="35">
        <v>0.6994203357935822</v>
      </c>
      <c r="L8" s="34">
        <v>0.15113527102413171</v>
      </c>
      <c r="M8" s="35">
        <v>0.25139329526153104</v>
      </c>
      <c r="N8" s="35">
        <v>0.46647854593819194</v>
      </c>
      <c r="O8" s="35">
        <v>0.10230250558339957</v>
      </c>
      <c r="P8" s="35">
        <v>5.1057519181902742E-3</v>
      </c>
      <c r="Q8" s="35">
        <v>2.3584630274555318E-2</v>
      </c>
      <c r="R8" s="34">
        <f t="shared" si="0"/>
        <v>0.40252856628566275</v>
      </c>
      <c r="S8" s="34">
        <v>6.0814880048596365E-2</v>
      </c>
      <c r="T8" s="35">
        <v>8.8021131022136156E-2</v>
      </c>
      <c r="U8" s="35">
        <v>7.642876230982E-2</v>
      </c>
      <c r="V8" s="35">
        <v>6.8505993982987762E-2</v>
      </c>
      <c r="W8" s="35">
        <v>5.9789916331265049E-2</v>
      </c>
      <c r="X8" s="35">
        <v>5.9590943006104832E-2</v>
      </c>
      <c r="Y8" s="35">
        <v>5.3326919237281799E-2</v>
      </c>
      <c r="Z8" s="35">
        <v>0</v>
      </c>
      <c r="AA8" s="34">
        <v>2.027643875012163E-3</v>
      </c>
      <c r="AB8" s="35">
        <v>3.8806702753089457E-2</v>
      </c>
      <c r="AC8" s="35">
        <v>2.3525438026710699E-2</v>
      </c>
      <c r="AD8" s="35">
        <v>1.776107531528591E-2</v>
      </c>
      <c r="AE8" s="35">
        <v>1.0393033762138517E-2</v>
      </c>
      <c r="AF8" s="35">
        <v>5.9351342946422202E-3</v>
      </c>
      <c r="AG8" s="35">
        <v>3.8534775565206079E-3</v>
      </c>
      <c r="AH8" s="34">
        <v>1.1606755284031876E-2</v>
      </c>
      <c r="AI8" s="35">
        <v>5.961061370787858E-3</v>
      </c>
      <c r="AJ8" s="35">
        <v>3.8969593968943418E-3</v>
      </c>
      <c r="AK8" s="62">
        <v>2.1198542228412442E-3</v>
      </c>
    </row>
    <row r="9" spans="1:37" x14ac:dyDescent="0.25">
      <c r="B9" s="1">
        <v>7</v>
      </c>
      <c r="C9" s="34">
        <v>0.109</v>
      </c>
      <c r="D9" s="35">
        <v>0.8909999999999999</v>
      </c>
      <c r="E9" s="35">
        <v>0</v>
      </c>
      <c r="F9" s="35">
        <v>0</v>
      </c>
      <c r="G9" s="30">
        <v>260</v>
      </c>
      <c r="H9" s="31">
        <v>2</v>
      </c>
      <c r="I9" s="10">
        <v>24000</v>
      </c>
      <c r="J9" s="30">
        <v>0</v>
      </c>
      <c r="K9" s="35">
        <v>2.1406108768825169E-3</v>
      </c>
      <c r="L9" s="34">
        <v>6.2728385903730269E-2</v>
      </c>
      <c r="M9" s="35">
        <v>0.35918800341148677</v>
      </c>
      <c r="N9" s="35">
        <v>1.2997094786395984E-2</v>
      </c>
      <c r="O9" s="35">
        <v>1.7164119331146983E-2</v>
      </c>
      <c r="P9" s="35">
        <v>0.54792239656724095</v>
      </c>
      <c r="Q9" s="35">
        <v>0</v>
      </c>
      <c r="R9" s="34">
        <f t="shared" si="0"/>
        <v>0.42191638931521702</v>
      </c>
      <c r="S9" s="34">
        <v>1.2997094786395984E-2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4">
        <v>6.5271118832569636E-3</v>
      </c>
      <c r="AB9" s="35">
        <v>1.0637007447890019E-2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4">
        <v>0</v>
      </c>
      <c r="AI9" s="35">
        <v>0</v>
      </c>
      <c r="AJ9" s="35">
        <v>0</v>
      </c>
      <c r="AK9" s="62">
        <v>0</v>
      </c>
    </row>
    <row r="10" spans="1:37" x14ac:dyDescent="0.25">
      <c r="B10" s="1">
        <v>8</v>
      </c>
      <c r="C10" s="34">
        <v>0.13200000000000001</v>
      </c>
      <c r="D10" s="35">
        <v>0.7</v>
      </c>
      <c r="E10" s="35">
        <v>0</v>
      </c>
      <c r="F10" s="35">
        <v>0.16800000000000001</v>
      </c>
      <c r="G10" s="30">
        <v>260</v>
      </c>
      <c r="H10" s="31">
        <v>2</v>
      </c>
      <c r="I10" s="10">
        <v>24000</v>
      </c>
      <c r="J10" s="30">
        <v>86.442021566628469</v>
      </c>
      <c r="K10" s="35">
        <v>0.10326930061743955</v>
      </c>
      <c r="L10" s="34">
        <v>0.15360298423140617</v>
      </c>
      <c r="M10" s="35">
        <v>0.25268400973430977</v>
      </c>
      <c r="N10" s="35">
        <v>0.27685539950454208</v>
      </c>
      <c r="O10" s="35">
        <v>0.12412950942612364</v>
      </c>
      <c r="P10" s="35">
        <v>0.10068090272198033</v>
      </c>
      <c r="Q10" s="35">
        <v>9.2047194381639122E-2</v>
      </c>
      <c r="R10" s="34">
        <f t="shared" si="0"/>
        <v>0.40628699396571594</v>
      </c>
      <c r="S10" s="34">
        <v>8.3164707818405043E-2</v>
      </c>
      <c r="T10" s="35">
        <v>5.6374313468158146E-2</v>
      </c>
      <c r="U10" s="35">
        <v>8.7962898671846857E-3</v>
      </c>
      <c r="V10" s="35">
        <v>4.4995605642398205E-2</v>
      </c>
      <c r="W10" s="35">
        <v>3.2128408519503278E-2</v>
      </c>
      <c r="X10" s="35">
        <v>2.8913685092106504E-2</v>
      </c>
      <c r="Y10" s="35">
        <v>2.2482389096786178E-2</v>
      </c>
      <c r="Z10" s="35">
        <v>0</v>
      </c>
      <c r="AA10" s="34">
        <v>9.7125912509006089E-3</v>
      </c>
      <c r="AB10" s="35">
        <v>5.585175776458802E-2</v>
      </c>
      <c r="AC10" s="35">
        <v>2.518950726521281E-2</v>
      </c>
      <c r="AD10" s="35">
        <v>2.0047374579875848E-2</v>
      </c>
      <c r="AE10" s="35">
        <v>5.3139450565755043E-3</v>
      </c>
      <c r="AF10" s="35">
        <v>4.207127780836933E-3</v>
      </c>
      <c r="AG10" s="35">
        <v>3.8072057281339053E-3</v>
      </c>
      <c r="AH10" s="34">
        <v>5.7125217936705157E-2</v>
      </c>
      <c r="AI10" s="35">
        <v>2.1428874689191659E-2</v>
      </c>
      <c r="AJ10" s="35">
        <v>8.1308303913724712E-3</v>
      </c>
      <c r="AK10" s="62">
        <v>5.3622713643698356E-3</v>
      </c>
    </row>
    <row r="11" spans="1:37" x14ac:dyDescent="0.25">
      <c r="B11" s="1">
        <v>9</v>
      </c>
      <c r="C11" s="34">
        <v>0.113</v>
      </c>
      <c r="D11" s="35">
        <v>0.59599999999999997</v>
      </c>
      <c r="E11" s="35">
        <v>0</v>
      </c>
      <c r="F11" s="35">
        <v>0.29100000000000004</v>
      </c>
      <c r="G11" s="30">
        <v>260</v>
      </c>
      <c r="H11" s="31">
        <v>2</v>
      </c>
      <c r="I11" s="10">
        <v>24000</v>
      </c>
      <c r="J11" s="30">
        <v>134.09232664932793</v>
      </c>
      <c r="K11" s="35">
        <v>0.18365361789501666</v>
      </c>
      <c r="L11" s="34">
        <v>0.15250751338723925</v>
      </c>
      <c r="M11" s="35">
        <v>0.22154667711512394</v>
      </c>
      <c r="N11" s="35">
        <v>0.33219272209390999</v>
      </c>
      <c r="O11" s="35">
        <v>0.1332159438311048</v>
      </c>
      <c r="P11" s="35">
        <v>7.158532789057144E-2</v>
      </c>
      <c r="Q11" s="35">
        <v>8.8951815682051086E-2</v>
      </c>
      <c r="R11" s="34">
        <f t="shared" si="0"/>
        <v>0.37405419050236322</v>
      </c>
      <c r="S11" s="34">
        <v>9.6295472153712938E-2</v>
      </c>
      <c r="T11" s="35">
        <v>6.6066339723837325E-2</v>
      </c>
      <c r="U11" s="35">
        <v>4.7724563108952442E-2</v>
      </c>
      <c r="V11" s="35">
        <v>4.1862204496688885E-2</v>
      </c>
      <c r="W11" s="35">
        <v>3.1924955329820051E-2</v>
      </c>
      <c r="X11" s="35">
        <v>2.7585573804878721E-2</v>
      </c>
      <c r="Y11" s="35">
        <v>2.0733613476019593E-2</v>
      </c>
      <c r="Z11" s="35">
        <v>0</v>
      </c>
      <c r="AA11" s="34">
        <v>8.8949375676194986E-3</v>
      </c>
      <c r="AB11" s="35">
        <v>6.1039831089964858E-2</v>
      </c>
      <c r="AC11" s="35">
        <v>2.6536531739054754E-2</v>
      </c>
      <c r="AD11" s="35">
        <v>2.0573735339363599E-2</v>
      </c>
      <c r="AE11" s="35">
        <v>8.9053265729370987E-3</v>
      </c>
      <c r="AF11" s="35">
        <v>4.0693428417273771E-3</v>
      </c>
      <c r="AG11" s="35">
        <v>3.1962386804376209E-3</v>
      </c>
      <c r="AH11" s="34">
        <v>5.3544123291742685E-2</v>
      </c>
      <c r="AI11" s="35">
        <v>2.3182701409164015E-2</v>
      </c>
      <c r="AJ11" s="35">
        <v>1.0681140066199269E-2</v>
      </c>
      <c r="AK11" s="62">
        <v>1.5438509149451243E-3</v>
      </c>
    </row>
    <row r="12" spans="1:37" x14ac:dyDescent="0.25">
      <c r="B12" s="1">
        <v>10</v>
      </c>
      <c r="C12" s="34">
        <v>0.12300000000000001</v>
      </c>
      <c r="D12" s="35">
        <v>0.43099999999999999</v>
      </c>
      <c r="E12" s="35">
        <v>0</v>
      </c>
      <c r="F12" s="35">
        <v>0.44600000000000001</v>
      </c>
      <c r="G12" s="30">
        <v>260</v>
      </c>
      <c r="H12" s="31">
        <v>2</v>
      </c>
      <c r="I12" s="10">
        <v>24000</v>
      </c>
      <c r="J12" s="30">
        <v>210.04887288597223</v>
      </c>
      <c r="K12" s="35">
        <v>0.34218126756069134</v>
      </c>
      <c r="L12" s="34">
        <v>0.24310142411824406</v>
      </c>
      <c r="M12" s="35">
        <v>0.16324171385407357</v>
      </c>
      <c r="N12" s="35">
        <v>0.37236975440372794</v>
      </c>
      <c r="O12" s="35">
        <v>9.3141798874197976E-2</v>
      </c>
      <c r="P12" s="35">
        <v>4.532144703499049E-2</v>
      </c>
      <c r="Q12" s="35">
        <v>8.2823861714765842E-2</v>
      </c>
      <c r="R12" s="34">
        <f t="shared" si="0"/>
        <v>0.40634313797231764</v>
      </c>
      <c r="S12" s="34">
        <v>8.9665350233007451E-2</v>
      </c>
      <c r="T12" s="35">
        <v>7.8616258502678199E-2</v>
      </c>
      <c r="U12" s="35">
        <v>6.521519879359107E-2</v>
      </c>
      <c r="V12" s="35">
        <v>5.3246000653167792E-2</v>
      </c>
      <c r="W12" s="35">
        <v>3.3704567698612256E-2</v>
      </c>
      <c r="X12" s="35">
        <v>3.0577924018206925E-2</v>
      </c>
      <c r="Y12" s="35">
        <v>2.134445450446424E-2</v>
      </c>
      <c r="Z12" s="35">
        <v>0</v>
      </c>
      <c r="AA12" s="34">
        <v>4.5286998726932594E-3</v>
      </c>
      <c r="AB12" s="35">
        <v>4.6176465295543326E-2</v>
      </c>
      <c r="AC12" s="35">
        <v>1.8993874476092562E-2</v>
      </c>
      <c r="AD12" s="35">
        <v>1.2994388546396334E-2</v>
      </c>
      <c r="AE12" s="35">
        <v>2.2522965489404781E-3</v>
      </c>
      <c r="AF12" s="35">
        <v>4.9917046965849091E-3</v>
      </c>
      <c r="AG12" s="35">
        <v>3.2043694379471134E-3</v>
      </c>
      <c r="AH12" s="34">
        <v>4.6539539830139642E-2</v>
      </c>
      <c r="AI12" s="35">
        <v>1.9774439148698565E-2</v>
      </c>
      <c r="AJ12" s="35">
        <v>1.0686915276828513E-2</v>
      </c>
      <c r="AK12" s="62">
        <v>5.822967459099132E-3</v>
      </c>
    </row>
    <row r="13" spans="1:37" x14ac:dyDescent="0.25">
      <c r="B13" s="1">
        <v>11</v>
      </c>
      <c r="C13" s="34">
        <v>0.124</v>
      </c>
      <c r="D13" s="35">
        <v>0.33200000000000002</v>
      </c>
      <c r="E13" s="35">
        <v>0</v>
      </c>
      <c r="F13" s="35">
        <v>0.54400000000000004</v>
      </c>
      <c r="G13" s="30">
        <v>260</v>
      </c>
      <c r="H13" s="31">
        <v>2</v>
      </c>
      <c r="I13" s="10">
        <v>24000</v>
      </c>
      <c r="J13" s="30">
        <v>299.99089676299377</v>
      </c>
      <c r="K13" s="35">
        <v>0.4756509211909572</v>
      </c>
      <c r="L13" s="34">
        <v>0.23570723730730953</v>
      </c>
      <c r="M13" s="35">
        <v>0.15431310934393844</v>
      </c>
      <c r="N13" s="35">
        <v>0.3541681705545443</v>
      </c>
      <c r="O13" s="35">
        <v>0.11887793706535342</v>
      </c>
      <c r="P13" s="35">
        <v>4.6066460591265609E-2</v>
      </c>
      <c r="Q13" s="35">
        <v>9.0867085137588621E-2</v>
      </c>
      <c r="R13" s="34">
        <f t="shared" si="0"/>
        <v>0.39002034665124796</v>
      </c>
      <c r="S13" s="34">
        <v>8.5178712391989264E-2</v>
      </c>
      <c r="T13" s="35">
        <v>6.8194512283675596E-2</v>
      </c>
      <c r="U13" s="35">
        <v>6.0317419870286992E-2</v>
      </c>
      <c r="V13" s="35">
        <v>4.912022232756557E-2</v>
      </c>
      <c r="W13" s="35">
        <v>3.189456743615484E-2</v>
      </c>
      <c r="X13" s="35">
        <v>2.9085950616548378E-2</v>
      </c>
      <c r="Y13" s="35">
        <v>2.0279822904059986E-2</v>
      </c>
      <c r="Z13" s="35">
        <v>1.009696272426364E-2</v>
      </c>
      <c r="AA13" s="34">
        <v>5.0611976046921105E-3</v>
      </c>
      <c r="AB13" s="35">
        <v>5.4453881037492949E-2</v>
      </c>
      <c r="AC13" s="35">
        <v>2.443945924183517E-2</v>
      </c>
      <c r="AD13" s="35">
        <v>1.7002485798312393E-2</v>
      </c>
      <c r="AE13" s="35">
        <v>8.0909250217192641E-3</v>
      </c>
      <c r="AF13" s="35">
        <v>5.1636416318531515E-3</v>
      </c>
      <c r="AG13" s="35">
        <v>4.6663467294483785E-3</v>
      </c>
      <c r="AH13" s="34">
        <v>5.0136388435141926E-2</v>
      </c>
      <c r="AI13" s="35">
        <v>2.1321497458977823E-2</v>
      </c>
      <c r="AJ13" s="35">
        <v>1.1468251147969132E-2</v>
      </c>
      <c r="AK13" s="62">
        <v>7.9409480954997363E-3</v>
      </c>
    </row>
    <row r="14" spans="1:37" x14ac:dyDescent="0.25">
      <c r="B14" s="1">
        <v>12</v>
      </c>
      <c r="C14" s="34">
        <v>0.11900000000000001</v>
      </c>
      <c r="D14" s="35">
        <v>0.16399999999999998</v>
      </c>
      <c r="E14" s="35">
        <v>0</v>
      </c>
      <c r="F14" s="35">
        <v>0.71700000000000008</v>
      </c>
      <c r="G14" s="30">
        <v>260</v>
      </c>
      <c r="H14" s="31">
        <v>2</v>
      </c>
      <c r="I14" s="10">
        <v>24000</v>
      </c>
      <c r="J14" s="30">
        <v>309.92372430482339</v>
      </c>
      <c r="K14" s="35">
        <v>0.552869756182372</v>
      </c>
      <c r="L14" s="34">
        <v>0.24323352266962037</v>
      </c>
      <c r="M14" s="35">
        <v>0.14715461003952354</v>
      </c>
      <c r="N14" s="35">
        <v>0.34648518449530324</v>
      </c>
      <c r="O14" s="35">
        <v>0.13861903794077765</v>
      </c>
      <c r="P14" s="35">
        <v>4.2388487169464584E-2</v>
      </c>
      <c r="Q14" s="35">
        <v>8.2119157685310765E-2</v>
      </c>
      <c r="R14" s="34">
        <f t="shared" si="0"/>
        <v>0.39038813270914391</v>
      </c>
      <c r="S14" s="34">
        <v>8.2901191154667153E-2</v>
      </c>
      <c r="T14" s="35">
        <v>5.8687385867639101E-2</v>
      </c>
      <c r="U14" s="35">
        <v>4.4970329344688677E-2</v>
      </c>
      <c r="V14" s="35">
        <v>4.9599181702567254E-2</v>
      </c>
      <c r="W14" s="35">
        <v>3.2263722562734742E-2</v>
      </c>
      <c r="X14" s="35">
        <v>2.9349461853888262E-2</v>
      </c>
      <c r="Y14" s="35">
        <v>2.1141302198284553E-2</v>
      </c>
      <c r="Z14" s="35">
        <v>2.7572609810833516E-2</v>
      </c>
      <c r="AA14" s="34">
        <v>6.6101988970476595E-3</v>
      </c>
      <c r="AB14" s="35">
        <v>6.2875676111793274E-2</v>
      </c>
      <c r="AC14" s="35">
        <v>2.8803965987885056E-2</v>
      </c>
      <c r="AD14" s="35">
        <v>2.2249139523929873E-2</v>
      </c>
      <c r="AE14" s="35">
        <v>9.7768659379813636E-3</v>
      </c>
      <c r="AF14" s="35">
        <v>4.976097225213646E-3</v>
      </c>
      <c r="AG14" s="35">
        <v>3.3270942569267707E-3</v>
      </c>
      <c r="AH14" s="34">
        <v>4.370098249400553E-2</v>
      </c>
      <c r="AI14" s="35">
        <v>1.9076592908037274E-2</v>
      </c>
      <c r="AJ14" s="35">
        <v>1.0473733868006707E-2</v>
      </c>
      <c r="AK14" s="62">
        <v>8.8678484152612518E-3</v>
      </c>
    </row>
    <row r="15" spans="1:37" x14ac:dyDescent="0.25">
      <c r="A15" s="3"/>
      <c r="B15" s="1">
        <v>13</v>
      </c>
      <c r="C15" s="34">
        <v>0.14899999999999999</v>
      </c>
      <c r="D15" s="35">
        <v>0</v>
      </c>
      <c r="E15" s="35">
        <v>0.85099999999999998</v>
      </c>
      <c r="F15" s="35">
        <v>0</v>
      </c>
      <c r="G15" s="30">
        <v>260</v>
      </c>
      <c r="H15" s="31">
        <v>2</v>
      </c>
      <c r="I15" s="10">
        <v>24000</v>
      </c>
      <c r="J15" s="30">
        <v>0</v>
      </c>
      <c r="K15" s="35">
        <v>0.92925984289358576</v>
      </c>
      <c r="L15" s="34">
        <v>0.20360679142749563</v>
      </c>
      <c r="M15" s="35">
        <v>0.28713704486308311</v>
      </c>
      <c r="N15" s="35">
        <v>0.48640308546072347</v>
      </c>
      <c r="O15" s="35">
        <v>2.2853078248697832E-2</v>
      </c>
      <c r="P15" s="35">
        <v>0</v>
      </c>
      <c r="Q15" s="35">
        <v>0</v>
      </c>
      <c r="R15" s="34">
        <f t="shared" si="0"/>
        <v>0.49074383629057872</v>
      </c>
      <c r="S15" s="34">
        <v>4.8513701116731547E-2</v>
      </c>
      <c r="T15" s="35">
        <v>7.2051650266589454E-2</v>
      </c>
      <c r="U15" s="35">
        <v>6.8295413018331808E-2</v>
      </c>
      <c r="V15" s="35">
        <v>6.3214686567052897E-2</v>
      </c>
      <c r="W15" s="35">
        <v>6.2121895149250358E-2</v>
      </c>
      <c r="X15" s="35">
        <v>5.9807414928109259E-2</v>
      </c>
      <c r="Y15" s="35">
        <v>5.2995922748689993E-2</v>
      </c>
      <c r="Z15" s="35">
        <v>5.9402401665968149E-2</v>
      </c>
      <c r="AA15" s="34">
        <v>5.4259191654414932E-4</v>
      </c>
      <c r="AB15" s="35">
        <v>4.610402865797161E-3</v>
      </c>
      <c r="AC15" s="35">
        <v>4.4604428485679835E-3</v>
      </c>
      <c r="AD15" s="35">
        <v>4.0907965053536442E-3</v>
      </c>
      <c r="AE15" s="35">
        <v>5.6244979947322601E-3</v>
      </c>
      <c r="AF15" s="35">
        <v>2.1223312950502168E-3</v>
      </c>
      <c r="AG15" s="35">
        <v>1.4020148226524184E-3</v>
      </c>
      <c r="AH15" s="34">
        <v>0</v>
      </c>
      <c r="AI15" s="35">
        <v>0</v>
      </c>
      <c r="AJ15" s="35">
        <v>0</v>
      </c>
      <c r="AK15" s="62">
        <v>0</v>
      </c>
    </row>
    <row r="16" spans="1:37" x14ac:dyDescent="0.25">
      <c r="A16" s="3"/>
      <c r="B16" s="1">
        <v>14</v>
      </c>
      <c r="C16" s="34">
        <v>0.122</v>
      </c>
      <c r="D16" s="35">
        <v>0.17800000000000002</v>
      </c>
      <c r="E16" s="35">
        <v>0.7</v>
      </c>
      <c r="F16" s="35">
        <v>0</v>
      </c>
      <c r="G16" s="30">
        <v>260</v>
      </c>
      <c r="H16" s="31">
        <v>2</v>
      </c>
      <c r="I16" s="10">
        <v>24000</v>
      </c>
      <c r="J16" s="30">
        <v>90.257066874779539</v>
      </c>
      <c r="K16" s="35">
        <v>0.10772948768543308</v>
      </c>
      <c r="L16" s="34">
        <v>1.4021174078706898E-2</v>
      </c>
      <c r="M16" s="35">
        <v>0.41600310299181259</v>
      </c>
      <c r="N16" s="35">
        <v>0.33178379786500972</v>
      </c>
      <c r="O16" s="35">
        <v>0.10180441428384801</v>
      </c>
      <c r="P16" s="35">
        <v>4.1810470858440897E-2</v>
      </c>
      <c r="Q16" s="35">
        <v>9.4577039922184095E-2</v>
      </c>
      <c r="R16" s="34">
        <f t="shared" si="0"/>
        <v>0.43002427707051949</v>
      </c>
      <c r="S16" s="34">
        <v>0.11816385479724023</v>
      </c>
      <c r="T16" s="35">
        <v>8.3958436214609425E-2</v>
      </c>
      <c r="U16" s="35">
        <v>5.5351310927017998E-2</v>
      </c>
      <c r="V16" s="35">
        <v>3.2094730412897413E-2</v>
      </c>
      <c r="W16" s="35">
        <v>2.0409618862031145E-2</v>
      </c>
      <c r="X16" s="35">
        <v>1.3152062643239678E-2</v>
      </c>
      <c r="Y16" s="35">
        <v>8.6537840079738311E-3</v>
      </c>
      <c r="Z16" s="35">
        <v>0</v>
      </c>
      <c r="AA16" s="34">
        <v>4.5405328049481549E-3</v>
      </c>
      <c r="AB16" s="35">
        <v>5.7183207851345397E-2</v>
      </c>
      <c r="AC16" s="35">
        <v>2.3467298396639115E-2</v>
      </c>
      <c r="AD16" s="35">
        <v>1.226134010355602E-2</v>
      </c>
      <c r="AE16" s="35">
        <v>4.3520351273593208E-3</v>
      </c>
      <c r="AF16" s="35">
        <v>0</v>
      </c>
      <c r="AG16" s="35">
        <v>0</v>
      </c>
      <c r="AH16" s="34">
        <v>5.4661131617588371E-2</v>
      </c>
      <c r="AI16" s="35">
        <v>2.8481909608185793E-2</v>
      </c>
      <c r="AJ16" s="35">
        <v>7.8634936933794364E-3</v>
      </c>
      <c r="AK16" s="62">
        <v>3.5705050030304885E-3</v>
      </c>
    </row>
    <row r="17" spans="1:37" x14ac:dyDescent="0.25">
      <c r="A17" s="3"/>
      <c r="B17" s="1">
        <v>15</v>
      </c>
      <c r="C17" s="34">
        <v>0.121</v>
      </c>
      <c r="D17" s="35">
        <v>0.30499999999999999</v>
      </c>
      <c r="E17" s="35">
        <v>0.57399999999999995</v>
      </c>
      <c r="F17" s="35">
        <v>0</v>
      </c>
      <c r="G17" s="30">
        <v>260</v>
      </c>
      <c r="H17" s="31">
        <v>2</v>
      </c>
      <c r="I17" s="10">
        <v>24000</v>
      </c>
      <c r="J17" s="30">
        <v>86.797554334499779</v>
      </c>
      <c r="K17" s="35">
        <v>0.127249106320723</v>
      </c>
      <c r="L17" s="34">
        <v>2.6435153697167445E-2</v>
      </c>
      <c r="M17" s="35">
        <v>0.36080127606762097</v>
      </c>
      <c r="N17" s="35">
        <v>0.35388445700508603</v>
      </c>
      <c r="O17" s="35">
        <v>0.14619070232198658</v>
      </c>
      <c r="P17" s="35">
        <v>2.9696777983919412E-2</v>
      </c>
      <c r="Q17" s="35">
        <v>8.2991632924219294E-2</v>
      </c>
      <c r="R17" s="34">
        <f t="shared" si="0"/>
        <v>0.38723642976478839</v>
      </c>
      <c r="S17" s="34">
        <v>0.11294968957006928</v>
      </c>
      <c r="T17" s="35">
        <v>8.4603758844078794E-2</v>
      </c>
      <c r="U17" s="35">
        <v>6.2648738951376876E-2</v>
      </c>
      <c r="V17" s="35">
        <v>3.9125208178613237E-2</v>
      </c>
      <c r="W17" s="35">
        <v>2.5679312933065107E-2</v>
      </c>
      <c r="X17" s="35">
        <v>1.7269638314553717E-2</v>
      </c>
      <c r="Y17" s="35">
        <v>1.1608110213329078E-2</v>
      </c>
      <c r="Z17" s="35">
        <v>0</v>
      </c>
      <c r="AA17" s="34">
        <v>6.4491345575891359E-3</v>
      </c>
      <c r="AB17" s="35">
        <v>7.6751257105387008E-2</v>
      </c>
      <c r="AC17" s="35">
        <v>3.5404885261266388E-2</v>
      </c>
      <c r="AD17" s="35">
        <v>1.8552239482900034E-2</v>
      </c>
      <c r="AE17" s="35">
        <v>6.6951448597746873E-3</v>
      </c>
      <c r="AF17" s="35">
        <v>2.3380410550693643E-3</v>
      </c>
      <c r="AG17" s="35">
        <v>0</v>
      </c>
      <c r="AH17" s="34">
        <v>4.8549418958134243E-2</v>
      </c>
      <c r="AI17" s="35">
        <v>2.4371107468856699E-2</v>
      </c>
      <c r="AJ17" s="35">
        <v>1.0071106497228359E-2</v>
      </c>
      <c r="AK17" s="62">
        <v>0</v>
      </c>
    </row>
    <row r="18" spans="1:37" x14ac:dyDescent="0.25">
      <c r="B18" s="1">
        <v>16</v>
      </c>
      <c r="C18" s="34">
        <v>0.10400000000000001</v>
      </c>
      <c r="D18" s="35">
        <v>0.45799999999999996</v>
      </c>
      <c r="E18" s="35">
        <v>0.43799999999999994</v>
      </c>
      <c r="F18" s="35">
        <v>0</v>
      </c>
      <c r="G18" s="30">
        <v>260</v>
      </c>
      <c r="H18" s="31">
        <v>2</v>
      </c>
      <c r="I18" s="10">
        <v>24000</v>
      </c>
      <c r="J18" s="30">
        <v>91.529559953757271</v>
      </c>
      <c r="K18" s="35">
        <v>0.15453390236370529</v>
      </c>
      <c r="L18" s="34">
        <v>4.1703792734531599E-2</v>
      </c>
      <c r="M18" s="35">
        <v>0.30423507697956642</v>
      </c>
      <c r="N18" s="35">
        <v>0.37746664517950834</v>
      </c>
      <c r="O18" s="35">
        <v>0.18115359244863544</v>
      </c>
      <c r="P18" s="35">
        <v>2.2358411458615387E-2</v>
      </c>
      <c r="Q18" s="35">
        <v>7.3082481199142679E-2</v>
      </c>
      <c r="R18" s="34">
        <f t="shared" si="0"/>
        <v>0.34593886971409804</v>
      </c>
      <c r="S18" s="34">
        <v>0.10565690711507458</v>
      </c>
      <c r="T18" s="35">
        <v>8.5682015852827614E-2</v>
      </c>
      <c r="U18" s="35">
        <v>6.8311629638066029E-2</v>
      </c>
      <c r="V18" s="35">
        <v>4.5431848141185047E-2</v>
      </c>
      <c r="W18" s="35">
        <v>3.2361095367805112E-2</v>
      </c>
      <c r="X18" s="35">
        <v>2.3872739441692672E-2</v>
      </c>
      <c r="Y18" s="35">
        <v>1.6150409622857218E-2</v>
      </c>
      <c r="Z18" s="35">
        <v>0</v>
      </c>
      <c r="AA18" s="34">
        <v>8.5341485435602681E-3</v>
      </c>
      <c r="AB18" s="35">
        <v>8.9081006143734084E-2</v>
      </c>
      <c r="AC18" s="35">
        <v>4.4067322852819446E-2</v>
      </c>
      <c r="AD18" s="35">
        <v>2.4430233513245803E-2</v>
      </c>
      <c r="AE18" s="35">
        <v>9.4813879857188095E-3</v>
      </c>
      <c r="AF18" s="35">
        <v>3.9339224601955564E-3</v>
      </c>
      <c r="AG18" s="35">
        <v>1.6255709493614527E-3</v>
      </c>
      <c r="AH18" s="34">
        <v>4.0101538518166287E-2</v>
      </c>
      <c r="AI18" s="35">
        <v>2.4831466811197057E-2</v>
      </c>
      <c r="AJ18" s="35">
        <v>6.9084101456955366E-3</v>
      </c>
      <c r="AK18" s="62">
        <v>1.2410657240837959E-3</v>
      </c>
    </row>
    <row r="19" spans="1:37" x14ac:dyDescent="0.25">
      <c r="B19" s="1">
        <v>17</v>
      </c>
      <c r="C19" s="34">
        <v>0.11800000000000001</v>
      </c>
      <c r="D19" s="35">
        <v>0.61699999999999999</v>
      </c>
      <c r="E19" s="35">
        <v>0.26500000000000001</v>
      </c>
      <c r="F19" s="35">
        <v>0</v>
      </c>
      <c r="G19" s="30">
        <v>260</v>
      </c>
      <c r="H19" s="31">
        <v>2</v>
      </c>
      <c r="I19" s="10">
        <v>24000</v>
      </c>
      <c r="J19" s="30">
        <v>82.637659472770665</v>
      </c>
      <c r="K19" s="35">
        <v>0.1269291892551781</v>
      </c>
      <c r="L19" s="34">
        <v>2.6235350860207122E-2</v>
      </c>
      <c r="M19" s="35">
        <v>0.3182709661729719</v>
      </c>
      <c r="N19" s="35">
        <v>0.33966761516821509</v>
      </c>
      <c r="O19" s="35">
        <v>0.21244493739820131</v>
      </c>
      <c r="P19" s="35">
        <v>2.3195643955740013E-2</v>
      </c>
      <c r="Q19" s="35">
        <v>8.0185486444663723E-2</v>
      </c>
      <c r="R19" s="34">
        <f t="shared" si="0"/>
        <v>0.34450631703317902</v>
      </c>
      <c r="S19" s="34">
        <v>9.8457104754065022E-2</v>
      </c>
      <c r="T19" s="35">
        <v>6.8813885517682916E-2</v>
      </c>
      <c r="U19" s="35">
        <v>6.0218118722857275E-2</v>
      </c>
      <c r="V19" s="35">
        <v>4.1989114346941685E-2</v>
      </c>
      <c r="W19" s="35">
        <v>3.0559263085557238E-2</v>
      </c>
      <c r="X19" s="35">
        <v>2.3018969081054622E-2</v>
      </c>
      <c r="Y19" s="35">
        <v>1.6611159660056316E-2</v>
      </c>
      <c r="Z19" s="35">
        <v>0</v>
      </c>
      <c r="AA19" s="34">
        <v>1.0487067376917614E-2</v>
      </c>
      <c r="AB19" s="35">
        <v>9.622889647665836E-2</v>
      </c>
      <c r="AC19" s="35">
        <v>5.2098316043017116E-2</v>
      </c>
      <c r="AD19" s="35">
        <v>3.2098508633908826E-2</v>
      </c>
      <c r="AE19" s="35">
        <v>1.2885278760597632E-2</v>
      </c>
      <c r="AF19" s="35">
        <v>5.3431423257370549E-3</v>
      </c>
      <c r="AG19" s="35">
        <v>3.3037277813647101E-3</v>
      </c>
      <c r="AH19" s="34">
        <v>4.5986786662011808E-2</v>
      </c>
      <c r="AI19" s="35">
        <v>2.614541988737526E-2</v>
      </c>
      <c r="AJ19" s="35">
        <v>8.0532798952766479E-3</v>
      </c>
      <c r="AK19" s="62">
        <v>0</v>
      </c>
    </row>
    <row r="20" spans="1:37" x14ac:dyDescent="0.25">
      <c r="B20" s="1">
        <v>18</v>
      </c>
      <c r="C20" s="34">
        <v>0.11699999999999999</v>
      </c>
      <c r="D20" s="35">
        <v>0.71099999999999997</v>
      </c>
      <c r="E20" s="35">
        <v>0.17199999999999999</v>
      </c>
      <c r="F20" s="35">
        <v>0</v>
      </c>
      <c r="G20" s="30">
        <v>260</v>
      </c>
      <c r="H20" s="31">
        <v>2</v>
      </c>
      <c r="I20" s="10">
        <v>24000</v>
      </c>
      <c r="J20" s="30">
        <v>83.368416598804657</v>
      </c>
      <c r="K20" s="35">
        <v>0.10489081753209377</v>
      </c>
      <c r="L20" s="34">
        <v>3.0917723940465314E-2</v>
      </c>
      <c r="M20" s="35">
        <v>0.28395223033692707</v>
      </c>
      <c r="N20" s="35">
        <v>0.35834547398812899</v>
      </c>
      <c r="O20" s="35">
        <v>0.22062261951346465</v>
      </c>
      <c r="P20" s="35">
        <v>1.9068537349433656E-2</v>
      </c>
      <c r="Q20" s="35">
        <v>8.7093414871582425E-2</v>
      </c>
      <c r="R20" s="34">
        <f t="shared" si="0"/>
        <v>0.31486995427739239</v>
      </c>
      <c r="S20" s="34">
        <v>8.8837830291658412E-2</v>
      </c>
      <c r="T20" s="35">
        <v>6.826822066918109E-2</v>
      </c>
      <c r="U20" s="35">
        <v>6.4849604574344452E-2</v>
      </c>
      <c r="V20" s="35">
        <v>4.9292991765466698E-2</v>
      </c>
      <c r="W20" s="35">
        <v>3.5710519119370274E-2</v>
      </c>
      <c r="X20" s="35">
        <v>2.9299727630723013E-2</v>
      </c>
      <c r="Y20" s="35">
        <v>2.2086579937385026E-2</v>
      </c>
      <c r="Z20" s="35">
        <v>0</v>
      </c>
      <c r="AA20" s="34">
        <v>1.3052874537681593E-2</v>
      </c>
      <c r="AB20" s="35">
        <v>0.10061807678352558</v>
      </c>
      <c r="AC20" s="35">
        <v>5.1711700417152395E-2</v>
      </c>
      <c r="AD20" s="35">
        <v>3.09827249496702E-2</v>
      </c>
      <c r="AE20" s="35">
        <v>1.3666853820808837E-2</v>
      </c>
      <c r="AF20" s="35">
        <v>7.1094728576936491E-3</v>
      </c>
      <c r="AG20" s="35">
        <v>3.4809161469324178E-3</v>
      </c>
      <c r="AH20" s="34">
        <v>4.7474201116178415E-2</v>
      </c>
      <c r="AI20" s="35">
        <v>2.3609874448496486E-2</v>
      </c>
      <c r="AJ20" s="35">
        <v>1.037489114581442E-2</v>
      </c>
      <c r="AK20" s="62">
        <v>5.634448161093094E-3</v>
      </c>
    </row>
    <row r="21" spans="1:37" x14ac:dyDescent="0.25">
      <c r="B21" s="1">
        <v>19</v>
      </c>
      <c r="C21" s="34">
        <v>0.114</v>
      </c>
      <c r="D21" s="35">
        <v>0</v>
      </c>
      <c r="E21" s="35">
        <v>0.10199999999999999</v>
      </c>
      <c r="F21" s="35">
        <v>0.78400000000000003</v>
      </c>
      <c r="G21" s="30">
        <v>260</v>
      </c>
      <c r="H21" s="31">
        <v>2</v>
      </c>
      <c r="I21" s="10">
        <v>24000</v>
      </c>
      <c r="J21" s="30">
        <v>324.24872772043614</v>
      </c>
      <c r="K21" s="35">
        <v>0.36185779693020448</v>
      </c>
      <c r="L21" s="34">
        <v>0.14710969074648003</v>
      </c>
      <c r="M21" s="35">
        <v>0.20879499613753408</v>
      </c>
      <c r="N21" s="35">
        <v>0.2808290480919618</v>
      </c>
      <c r="O21" s="35">
        <v>0.16298578585742821</v>
      </c>
      <c r="P21" s="35">
        <v>6.7580306973719376E-2</v>
      </c>
      <c r="Q21" s="35">
        <v>0.13270017219287666</v>
      </c>
      <c r="R21" s="34">
        <f t="shared" si="0"/>
        <v>0.35590468688401411</v>
      </c>
      <c r="S21" s="34">
        <v>0.10179707730648579</v>
      </c>
      <c r="T21" s="35">
        <v>5.6990431470733918E-2</v>
      </c>
      <c r="U21" s="35">
        <v>4.2399379192068209E-2</v>
      </c>
      <c r="V21" s="35">
        <v>2.7787893281252675E-2</v>
      </c>
      <c r="W21" s="35">
        <v>1.9221033379543437E-2</v>
      </c>
      <c r="X21" s="35">
        <v>1.5019320857821421E-2</v>
      </c>
      <c r="Y21" s="35">
        <v>1.0733212237025943E-2</v>
      </c>
      <c r="Z21" s="35">
        <v>6.8807003670303679E-3</v>
      </c>
      <c r="AA21" s="34">
        <v>1.2771572282638487E-2</v>
      </c>
      <c r="AB21" s="35">
        <v>7.3664234529876443E-2</v>
      </c>
      <c r="AC21" s="35">
        <v>3.6700613899787835E-2</v>
      </c>
      <c r="AD21" s="35">
        <v>2.4141114129892588E-2</v>
      </c>
      <c r="AE21" s="35">
        <v>9.2123022499691759E-3</v>
      </c>
      <c r="AF21" s="35">
        <v>4.2945473319154961E-3</v>
      </c>
      <c r="AG21" s="35">
        <v>2.2014014333481815E-3</v>
      </c>
      <c r="AH21" s="34">
        <v>7.7776863565592352E-2</v>
      </c>
      <c r="AI21" s="35">
        <v>3.4478775605827405E-2</v>
      </c>
      <c r="AJ21" s="35">
        <v>1.249385747195682E-2</v>
      </c>
      <c r="AK21" s="62">
        <v>7.9506755495001111E-3</v>
      </c>
    </row>
    <row r="22" spans="1:37" x14ac:dyDescent="0.25">
      <c r="B22" s="1">
        <v>20</v>
      </c>
      <c r="C22" s="34">
        <v>0.187</v>
      </c>
      <c r="D22" s="35">
        <v>0</v>
      </c>
      <c r="E22" s="35">
        <v>0</v>
      </c>
      <c r="F22" s="35">
        <v>0.81299999999999994</v>
      </c>
      <c r="G22" s="30">
        <v>260</v>
      </c>
      <c r="H22" s="31">
        <v>2</v>
      </c>
      <c r="I22" s="10">
        <v>24000</v>
      </c>
      <c r="J22" s="30">
        <v>218.90407233120288</v>
      </c>
      <c r="K22" s="35">
        <v>0.33939242252019214</v>
      </c>
      <c r="L22" s="34">
        <v>0.16883858096404636</v>
      </c>
      <c r="M22" s="35">
        <v>0.15640509006160097</v>
      </c>
      <c r="N22" s="35">
        <v>0.28776340238957376</v>
      </c>
      <c r="O22" s="35">
        <v>0.25587369291994738</v>
      </c>
      <c r="P22" s="35">
        <v>3.8919215680759858E-2</v>
      </c>
      <c r="Q22" s="35">
        <v>9.2200017984071639E-2</v>
      </c>
      <c r="R22" s="34">
        <f t="shared" si="0"/>
        <v>0.32524367102564733</v>
      </c>
      <c r="S22" s="34">
        <v>7.1321658702363899E-2</v>
      </c>
      <c r="T22" s="35">
        <v>4.5916027026058494E-2</v>
      </c>
      <c r="U22" s="35">
        <v>4.4604318259853587E-2</v>
      </c>
      <c r="V22" s="35">
        <v>3.7624152455171755E-2</v>
      </c>
      <c r="W22" s="35">
        <v>3.0572958739824241E-2</v>
      </c>
      <c r="X22" s="35">
        <v>2.9114697180023227E-2</v>
      </c>
      <c r="Y22" s="35">
        <v>2.322290482315106E-2</v>
      </c>
      <c r="Z22" s="35">
        <v>5.3866852031274094E-3</v>
      </c>
      <c r="AA22" s="34">
        <v>2.0106802084538081E-2</v>
      </c>
      <c r="AB22" s="35">
        <v>8.8641195553796459E-2</v>
      </c>
      <c r="AC22" s="35">
        <v>5.8221523873870772E-2</v>
      </c>
      <c r="AD22" s="35">
        <v>4.518436122654914E-2</v>
      </c>
      <c r="AE22" s="35">
        <v>2.2731679959388577E-2</v>
      </c>
      <c r="AF22" s="35">
        <v>1.3389103867763342E-2</v>
      </c>
      <c r="AG22" s="35">
        <v>7.5990263540409312E-3</v>
      </c>
      <c r="AH22" s="34">
        <v>5.2164782047350616E-2</v>
      </c>
      <c r="AI22" s="35">
        <v>2.6674423301714822E-2</v>
      </c>
      <c r="AJ22" s="35">
        <v>4.055912950810348E-3</v>
      </c>
      <c r="AK22" s="62">
        <v>9.3048996841958546E-3</v>
      </c>
    </row>
    <row r="23" spans="1:37" x14ac:dyDescent="0.25">
      <c r="B23" s="1">
        <v>21</v>
      </c>
      <c r="C23" s="34">
        <v>6.4000000000000001E-2</v>
      </c>
      <c r="D23" s="35">
        <v>0.45100000000000001</v>
      </c>
      <c r="E23" s="35">
        <v>0.48499999999999999</v>
      </c>
      <c r="F23" s="35">
        <v>0</v>
      </c>
      <c r="G23" s="30">
        <v>260</v>
      </c>
      <c r="H23" s="31">
        <v>2</v>
      </c>
      <c r="I23" s="10">
        <v>24000</v>
      </c>
      <c r="J23" s="30">
        <v>63.576241143640523</v>
      </c>
      <c r="K23" s="35">
        <v>8.2483684477625371E-2</v>
      </c>
      <c r="L23" s="34">
        <v>3.0699136764842278E-2</v>
      </c>
      <c r="M23" s="35">
        <v>0.36094635702261701</v>
      </c>
      <c r="N23" s="35">
        <v>0.32033008670873564</v>
      </c>
      <c r="O23" s="35">
        <v>0.16810269054696803</v>
      </c>
      <c r="P23" s="35">
        <v>3.7608667746629881E-2</v>
      </c>
      <c r="Q23" s="35">
        <v>8.2313061210205818E-2</v>
      </c>
      <c r="R23" s="34">
        <f t="shared" si="0"/>
        <v>0.39164549378745928</v>
      </c>
      <c r="S23" s="34">
        <v>0.10791986890651992</v>
      </c>
      <c r="T23" s="35">
        <v>7.312434782833524E-2</v>
      </c>
      <c r="U23" s="35">
        <v>5.4556156617163142E-2</v>
      </c>
      <c r="V23" s="35">
        <v>3.4056048676395154E-2</v>
      </c>
      <c r="W23" s="35">
        <v>2.2983289942308058E-2</v>
      </c>
      <c r="X23" s="35">
        <v>1.6756300187819824E-2</v>
      </c>
      <c r="Y23" s="35">
        <v>1.0934074550194305E-2</v>
      </c>
      <c r="Z23" s="35">
        <v>0</v>
      </c>
      <c r="AA23" s="34">
        <v>1.1354103761405681E-2</v>
      </c>
      <c r="AB23" s="35">
        <v>8.533883102451742E-2</v>
      </c>
      <c r="AC23" s="35">
        <v>3.9481362896013991E-2</v>
      </c>
      <c r="AD23" s="35">
        <v>2.0676676544916665E-2</v>
      </c>
      <c r="AE23" s="35">
        <v>8.0751339708382587E-3</v>
      </c>
      <c r="AF23" s="35">
        <v>3.1765823492760207E-3</v>
      </c>
      <c r="AG23" s="35">
        <v>0</v>
      </c>
      <c r="AH23" s="34">
        <v>4.9627790824182998E-2</v>
      </c>
      <c r="AI23" s="35">
        <v>2.4540747448030968E-2</v>
      </c>
      <c r="AJ23" s="35">
        <v>5.3168892235703957E-3</v>
      </c>
      <c r="AK23" s="62">
        <v>2.8276337144214608E-3</v>
      </c>
    </row>
    <row r="24" spans="1:37" x14ac:dyDescent="0.25">
      <c r="B24" s="1">
        <v>22</v>
      </c>
      <c r="C24" s="34">
        <v>0.17899999999999999</v>
      </c>
      <c r="D24" s="35">
        <v>0.39500000000000002</v>
      </c>
      <c r="E24" s="35">
        <v>0.42599999999999999</v>
      </c>
      <c r="F24" s="35">
        <v>0</v>
      </c>
      <c r="G24" s="30">
        <v>260</v>
      </c>
      <c r="H24" s="31">
        <v>2</v>
      </c>
      <c r="I24" s="10">
        <v>24000</v>
      </c>
      <c r="J24" s="30">
        <v>140.56698734675442</v>
      </c>
      <c r="K24" s="35">
        <v>0.20470268211229087</v>
      </c>
      <c r="L24" s="34">
        <v>3.2703762263970454E-2</v>
      </c>
      <c r="M24" s="35">
        <v>0.27796982676579163</v>
      </c>
      <c r="N24" s="35">
        <v>0.38085446165961212</v>
      </c>
      <c r="O24" s="35">
        <v>0.20487166122854172</v>
      </c>
      <c r="P24" s="35">
        <v>1.6701610661775106E-2</v>
      </c>
      <c r="Q24" s="35">
        <v>8.6898677420309323E-2</v>
      </c>
      <c r="R24" s="34">
        <f t="shared" si="0"/>
        <v>0.31067358902976205</v>
      </c>
      <c r="S24" s="34">
        <v>9.7996362592564154E-2</v>
      </c>
      <c r="T24" s="35">
        <v>8.1647451436099083E-2</v>
      </c>
      <c r="U24" s="35">
        <v>6.9940954360422344E-2</v>
      </c>
      <c r="V24" s="35">
        <v>4.8668312419308926E-2</v>
      </c>
      <c r="W24" s="35">
        <v>3.5951167352112401E-2</v>
      </c>
      <c r="X24" s="35">
        <v>2.7323711449152251E-2</v>
      </c>
      <c r="Y24" s="35">
        <v>1.9326502049952971E-2</v>
      </c>
      <c r="Z24" s="35">
        <v>0</v>
      </c>
      <c r="AA24" s="34">
        <v>8.0668280418531406E-3</v>
      </c>
      <c r="AB24" s="35">
        <v>9.3713407815405783E-2</v>
      </c>
      <c r="AC24" s="35">
        <v>5.0919897974311928E-2</v>
      </c>
      <c r="AD24" s="35">
        <v>3.0344418752506829E-2</v>
      </c>
      <c r="AE24" s="35">
        <v>1.2901617567779119E-2</v>
      </c>
      <c r="AF24" s="35">
        <v>5.9499899667901264E-3</v>
      </c>
      <c r="AG24" s="35">
        <v>2.9755011098948E-3</v>
      </c>
      <c r="AH24" s="34">
        <v>4.3593213786996647E-2</v>
      </c>
      <c r="AI24" s="35">
        <v>2.6049315305609819E-2</v>
      </c>
      <c r="AJ24" s="35">
        <v>1.0818607025498308E-2</v>
      </c>
      <c r="AK24" s="62">
        <v>6.4375413022045623E-3</v>
      </c>
    </row>
    <row r="25" spans="1:37" x14ac:dyDescent="0.25">
      <c r="A25" s="3"/>
      <c r="B25" s="1">
        <v>23</v>
      </c>
      <c r="C25" s="34">
        <v>0.38500000000000001</v>
      </c>
      <c r="D25" s="35">
        <v>0.30499999999999999</v>
      </c>
      <c r="E25" s="35">
        <v>0.31</v>
      </c>
      <c r="F25" s="35">
        <v>0</v>
      </c>
      <c r="G25" s="30">
        <v>260</v>
      </c>
      <c r="H25" s="31">
        <v>2</v>
      </c>
      <c r="I25" s="10">
        <v>24000</v>
      </c>
      <c r="J25" s="30">
        <v>71.580930131470012</v>
      </c>
      <c r="K25" s="35">
        <v>8.5085510783927495E-2</v>
      </c>
      <c r="L25" s="34">
        <v>4.2744674384688916E-2</v>
      </c>
      <c r="M25" s="35">
        <v>0.32324465892408699</v>
      </c>
      <c r="N25" s="35">
        <v>0.28553631489074</v>
      </c>
      <c r="O25" s="35">
        <v>0.24168375686886392</v>
      </c>
      <c r="P25" s="35">
        <v>2.1384593788125378E-2</v>
      </c>
      <c r="Q25" s="35">
        <v>8.5406001143494045E-2</v>
      </c>
      <c r="R25" s="34">
        <f t="shared" si="0"/>
        <v>0.36598933330877592</v>
      </c>
      <c r="S25" s="34">
        <v>8.3852871132183898E-2</v>
      </c>
      <c r="T25" s="35">
        <v>5.3526718929829589E-2</v>
      </c>
      <c r="U25" s="35">
        <v>4.7863579985327129E-2</v>
      </c>
      <c r="V25" s="35">
        <v>3.5166027295143919E-2</v>
      </c>
      <c r="W25" s="35">
        <v>2.6440524531034324E-2</v>
      </c>
      <c r="X25" s="35">
        <v>2.1987956844373123E-2</v>
      </c>
      <c r="Y25" s="35">
        <v>1.6698636172847992E-2</v>
      </c>
      <c r="Z25" s="35">
        <v>0</v>
      </c>
      <c r="AA25" s="34">
        <v>1.8090447968839414E-2</v>
      </c>
      <c r="AB25" s="35">
        <v>9.8437803171920663E-2</v>
      </c>
      <c r="AC25" s="35">
        <v>5.6570212586635284E-2</v>
      </c>
      <c r="AD25" s="35">
        <v>3.8370929981633842E-2</v>
      </c>
      <c r="AE25" s="35">
        <v>1.6895061464162579E-2</v>
      </c>
      <c r="AF25" s="35">
        <v>8.8499463797011724E-3</v>
      </c>
      <c r="AG25" s="35">
        <v>4.4693553159709737E-3</v>
      </c>
      <c r="AH25" s="34">
        <v>5.0326120499208239E-2</v>
      </c>
      <c r="AI25" s="35">
        <v>2.2484817491759616E-2</v>
      </c>
      <c r="AJ25" s="35">
        <v>7.6764961651115612E-3</v>
      </c>
      <c r="AK25" s="62">
        <v>4.9185669874146276E-3</v>
      </c>
    </row>
    <row r="26" spans="1:37" x14ac:dyDescent="0.25">
      <c r="A26" s="3"/>
      <c r="B26" s="1">
        <v>24</v>
      </c>
      <c r="C26" s="34">
        <v>0</v>
      </c>
      <c r="D26" s="35">
        <v>0.32200000000000001</v>
      </c>
      <c r="E26" s="35">
        <v>0</v>
      </c>
      <c r="F26" s="35">
        <v>0.67799999999999994</v>
      </c>
      <c r="G26" s="30">
        <v>260</v>
      </c>
      <c r="H26" s="31">
        <v>2</v>
      </c>
      <c r="I26" s="10">
        <v>24000</v>
      </c>
      <c r="J26" s="30">
        <v>161.54778875105251</v>
      </c>
      <c r="K26" s="35">
        <v>0.26216621881690738</v>
      </c>
      <c r="L26" s="34">
        <v>0.13523799663202951</v>
      </c>
      <c r="M26" s="35">
        <v>0.18357712572824184</v>
      </c>
      <c r="N26" s="35">
        <v>0.36885965210561933</v>
      </c>
      <c r="O26" s="35">
        <v>0.19647300663619754</v>
      </c>
      <c r="P26" s="35">
        <v>3.4404805306043916E-2</v>
      </c>
      <c r="Q26" s="35">
        <v>8.1447413591868675E-2</v>
      </c>
      <c r="R26" s="34">
        <f t="shared" si="0"/>
        <v>0.31881512236027132</v>
      </c>
      <c r="S26" s="34">
        <v>9.5182647357406752E-2</v>
      </c>
      <c r="T26" s="35">
        <v>6.962755887481939E-2</v>
      </c>
      <c r="U26" s="35">
        <v>6.1878717205352436E-2</v>
      </c>
      <c r="V26" s="35">
        <v>4.56892173147629E-2</v>
      </c>
      <c r="W26" s="35">
        <v>3.7481795096568869E-2</v>
      </c>
      <c r="X26" s="35">
        <v>3.0466184177518108E-2</v>
      </c>
      <c r="Y26" s="35">
        <v>2.8533532079190883E-2</v>
      </c>
      <c r="Z26" s="35">
        <v>0</v>
      </c>
      <c r="AA26" s="34">
        <v>1.6735525407202238E-2</v>
      </c>
      <c r="AB26" s="35">
        <v>8.5464788927299543E-2</v>
      </c>
      <c r="AC26" s="35">
        <v>4.5216170247855562E-2</v>
      </c>
      <c r="AD26" s="35">
        <v>3.1886289884005325E-2</v>
      </c>
      <c r="AE26" s="35">
        <v>2.5898307300573891E-3</v>
      </c>
      <c r="AF26" s="35">
        <v>8.7676599030352149E-3</v>
      </c>
      <c r="AG26" s="35">
        <v>5.812741536742278E-3</v>
      </c>
      <c r="AH26" s="34">
        <v>4.4118941661855107E-2</v>
      </c>
      <c r="AI26" s="35">
        <v>2.2315426488947826E-2</v>
      </c>
      <c r="AJ26" s="35">
        <v>9.988222982232042E-3</v>
      </c>
      <c r="AK26" s="62">
        <v>5.0248224588337071E-3</v>
      </c>
    </row>
    <row r="27" spans="1:37" x14ac:dyDescent="0.25">
      <c r="A27" s="3"/>
      <c r="B27" s="1">
        <v>25</v>
      </c>
      <c r="C27" s="34">
        <v>6.3E-2</v>
      </c>
      <c r="D27" s="35">
        <v>0.29899999999999999</v>
      </c>
      <c r="E27" s="35">
        <v>0</v>
      </c>
      <c r="F27" s="35">
        <v>0.63800000000000001</v>
      </c>
      <c r="G27" s="30">
        <v>260</v>
      </c>
      <c r="H27" s="31">
        <v>2</v>
      </c>
      <c r="I27" s="10">
        <v>24000</v>
      </c>
      <c r="J27" s="30">
        <v>239.70246873751708</v>
      </c>
      <c r="K27" s="35">
        <v>0.43297085054511725</v>
      </c>
      <c r="L27" s="34">
        <v>0.22969625939153221</v>
      </c>
      <c r="M27" s="35">
        <v>0.16083345764825774</v>
      </c>
      <c r="N27" s="35">
        <v>0.35190675416660144</v>
      </c>
      <c r="O27" s="35">
        <v>0.14345494101819425</v>
      </c>
      <c r="P27" s="35">
        <v>4.0328247112931648E-2</v>
      </c>
      <c r="Q27" s="35">
        <v>7.3780340662482471E-2</v>
      </c>
      <c r="R27" s="34">
        <f t="shared" si="0"/>
        <v>0.39052971703978995</v>
      </c>
      <c r="S27" s="34">
        <v>8.6380991996681256E-2</v>
      </c>
      <c r="T27" s="35">
        <v>6.3196773454084296E-2</v>
      </c>
      <c r="U27" s="35">
        <v>4.8844956653342736E-2</v>
      </c>
      <c r="V27" s="35">
        <v>4.4919060352094753E-2</v>
      </c>
      <c r="W27" s="35">
        <v>3.5313088749365174E-2</v>
      </c>
      <c r="X27" s="35">
        <v>3.1279179226475579E-2</v>
      </c>
      <c r="Y27" s="35">
        <v>2.3607747138757035E-2</v>
      </c>
      <c r="Z27" s="35">
        <v>1.8364956595800608E-2</v>
      </c>
      <c r="AA27" s="34">
        <v>6.5759795712639364E-3</v>
      </c>
      <c r="AB27" s="35">
        <v>6.269419543951954E-2</v>
      </c>
      <c r="AC27" s="35">
        <v>3.0143868493447874E-2</v>
      </c>
      <c r="AD27" s="35">
        <v>2.4131210129507995E-2</v>
      </c>
      <c r="AE27" s="35">
        <v>1.0743308351293182E-2</v>
      </c>
      <c r="AF27" s="35">
        <v>5.4612988537624686E-3</v>
      </c>
      <c r="AG27" s="35">
        <v>3.7050801793992337E-3</v>
      </c>
      <c r="AH27" s="34">
        <v>4.2890588719800865E-2</v>
      </c>
      <c r="AI27" s="35">
        <v>1.9678251979241033E-2</v>
      </c>
      <c r="AJ27" s="35">
        <v>1.1211499963440572E-2</v>
      </c>
      <c r="AK27" s="62">
        <v>0</v>
      </c>
    </row>
    <row r="28" spans="1:37" x14ac:dyDescent="0.25">
      <c r="A28" s="3"/>
      <c r="B28" s="1">
        <v>26</v>
      </c>
      <c r="C28" s="34">
        <v>0.183</v>
      </c>
      <c r="D28" s="35">
        <v>0.247</v>
      </c>
      <c r="E28" s="35">
        <v>0</v>
      </c>
      <c r="F28" s="35">
        <v>0.56999999999999995</v>
      </c>
      <c r="G28" s="30">
        <v>260</v>
      </c>
      <c r="H28" s="31">
        <v>2</v>
      </c>
      <c r="I28" s="10">
        <v>24000</v>
      </c>
      <c r="J28" s="30">
        <v>238.42274972241961</v>
      </c>
      <c r="K28" s="35">
        <v>0.29186670892638239</v>
      </c>
      <c r="L28" s="34">
        <v>0.17053944641809368</v>
      </c>
      <c r="M28" s="35">
        <v>0.18367918828441426</v>
      </c>
      <c r="N28" s="35">
        <v>0.31609034639627659</v>
      </c>
      <c r="O28" s="35">
        <v>0.14553975421321028</v>
      </c>
      <c r="P28" s="35">
        <v>7.3430301828830424E-2</v>
      </c>
      <c r="Q28" s="35">
        <v>0.11072096285917518</v>
      </c>
      <c r="R28" s="34">
        <f t="shared" si="0"/>
        <v>0.35421863470250792</v>
      </c>
      <c r="S28" s="34">
        <v>8.6613980576480648E-2</v>
      </c>
      <c r="T28" s="35">
        <v>5.9483274535305719E-2</v>
      </c>
      <c r="U28" s="35">
        <v>5.2753883877981952E-2</v>
      </c>
      <c r="V28" s="35">
        <v>4.2053271322607451E-2</v>
      </c>
      <c r="W28" s="35">
        <v>2.8993024233632134E-2</v>
      </c>
      <c r="X28" s="35">
        <v>2.6172203419550996E-2</v>
      </c>
      <c r="Y28" s="35">
        <v>2.0020708430717678E-2</v>
      </c>
      <c r="Z28" s="35">
        <v>0</v>
      </c>
      <c r="AA28" s="34">
        <v>8.3436365572474996E-3</v>
      </c>
      <c r="AB28" s="35">
        <v>6.5055229062800785E-2</v>
      </c>
      <c r="AC28" s="35">
        <v>3.1348132276954273E-2</v>
      </c>
      <c r="AD28" s="35">
        <v>2.2085710230852533E-2</v>
      </c>
      <c r="AE28" s="35">
        <v>1.0251445859596585E-2</v>
      </c>
      <c r="AF28" s="35">
        <v>5.3889004072652019E-3</v>
      </c>
      <c r="AG28" s="35">
        <v>3.0666998184933976E-3</v>
      </c>
      <c r="AH28" s="34">
        <v>6.2146556947504657E-2</v>
      </c>
      <c r="AI28" s="35">
        <v>2.7711733749043517E-2</v>
      </c>
      <c r="AJ28" s="35">
        <v>1.4495731108332093E-2</v>
      </c>
      <c r="AK28" s="62">
        <v>6.366941054294915E-3</v>
      </c>
    </row>
    <row r="29" spans="1:37" x14ac:dyDescent="0.25">
      <c r="A29" s="3"/>
      <c r="B29" s="1">
        <v>27</v>
      </c>
      <c r="C29" s="34">
        <v>0</v>
      </c>
      <c r="D29" s="35">
        <v>0</v>
      </c>
      <c r="E29" s="35">
        <v>0.22</v>
      </c>
      <c r="F29" s="35">
        <v>0.78</v>
      </c>
      <c r="G29" s="30">
        <v>260</v>
      </c>
      <c r="H29" s="31">
        <v>2</v>
      </c>
      <c r="I29" s="10">
        <v>24000</v>
      </c>
      <c r="J29" s="30">
        <v>254.89077663186572</v>
      </c>
      <c r="K29" s="35">
        <v>0.2647944446633721</v>
      </c>
      <c r="L29" s="34">
        <v>0.11158362651417486</v>
      </c>
      <c r="M29" s="35">
        <v>0.25428381635303748</v>
      </c>
      <c r="N29" s="35">
        <v>0.29993549900669492</v>
      </c>
      <c r="O29" s="35">
        <v>0.13480336032863921</v>
      </c>
      <c r="P29" s="35">
        <v>6.7657878200884675E-2</v>
      </c>
      <c r="Q29" s="35">
        <v>0.13173581959656919</v>
      </c>
      <c r="R29" s="34">
        <f t="shared" si="0"/>
        <v>0.36586744286721234</v>
      </c>
      <c r="S29" s="34">
        <v>0.11906497114871918</v>
      </c>
      <c r="T29" s="35">
        <v>6.659916782191351E-2</v>
      </c>
      <c r="U29" s="35">
        <v>4.3391187596618593E-2</v>
      </c>
      <c r="V29" s="35">
        <v>2.8288613309365947E-2</v>
      </c>
      <c r="W29" s="35">
        <v>1.8458769364353211E-2</v>
      </c>
      <c r="X29" s="35">
        <v>1.3833972877964279E-2</v>
      </c>
      <c r="Y29" s="35">
        <v>1.0298816887760182E-2</v>
      </c>
      <c r="Z29" s="35">
        <v>0</v>
      </c>
      <c r="AA29" s="34">
        <v>1.0636691922238258E-2</v>
      </c>
      <c r="AB29" s="35">
        <v>6.4127302519271831E-2</v>
      </c>
      <c r="AC29" s="35">
        <v>2.8866371539714542E-2</v>
      </c>
      <c r="AD29" s="35">
        <v>1.8978752051545075E-2</v>
      </c>
      <c r="AE29" s="35">
        <v>7.647417510498071E-3</v>
      </c>
      <c r="AF29" s="35">
        <v>2.9282417757950144E-3</v>
      </c>
      <c r="AG29" s="35">
        <v>1.6185830095764282E-3</v>
      </c>
      <c r="AH29" s="34">
        <v>7.842329560318903E-2</v>
      </c>
      <c r="AI29" s="35">
        <v>3.4848558109447654E-2</v>
      </c>
      <c r="AJ29" s="35">
        <v>1.338839490777375E-2</v>
      </c>
      <c r="AK29" s="62">
        <v>5.0755709761587673E-3</v>
      </c>
    </row>
    <row r="30" spans="1:37" x14ac:dyDescent="0.25">
      <c r="B30" s="1">
        <v>28</v>
      </c>
      <c r="C30" s="34">
        <v>5.7999999999999996E-2</v>
      </c>
      <c r="D30" s="35">
        <v>0</v>
      </c>
      <c r="E30" s="35">
        <v>0.2</v>
      </c>
      <c r="F30" s="35">
        <v>0.74199999999999999</v>
      </c>
      <c r="G30" s="30">
        <v>260</v>
      </c>
      <c r="H30" s="31">
        <v>2</v>
      </c>
      <c r="I30" s="10">
        <v>24000</v>
      </c>
      <c r="J30" s="30">
        <v>304.15730514673879</v>
      </c>
      <c r="K30" s="35">
        <v>0.35359431711698142</v>
      </c>
      <c r="L30" s="34">
        <v>0.17431284411878814</v>
      </c>
      <c r="M30" s="35">
        <v>0.22524859745749462</v>
      </c>
      <c r="N30" s="35">
        <v>0.2820316477684422</v>
      </c>
      <c r="O30" s="35">
        <v>0.14334503041779059</v>
      </c>
      <c r="P30" s="35">
        <v>5.5909072907783304E-2</v>
      </c>
      <c r="Q30" s="35">
        <v>0.11915280732970099</v>
      </c>
      <c r="R30" s="34">
        <f t="shared" si="0"/>
        <v>0.39956144157628276</v>
      </c>
      <c r="S30" s="34">
        <v>0.10605482915995454</v>
      </c>
      <c r="T30" s="35">
        <v>6.0279933361882698E-2</v>
      </c>
      <c r="U30" s="35">
        <v>4.3749361854186999E-2</v>
      </c>
      <c r="V30" s="35">
        <v>2.9204421645357692E-2</v>
      </c>
      <c r="W30" s="35">
        <v>1.9228735571188718E-2</v>
      </c>
      <c r="X30" s="35">
        <v>1.3855198882004666E-2</v>
      </c>
      <c r="Y30" s="35">
        <v>9.6591672938668958E-3</v>
      </c>
      <c r="Z30" s="35">
        <v>0</v>
      </c>
      <c r="AA30" s="34">
        <v>1.0472295769311414E-2</v>
      </c>
      <c r="AB30" s="35">
        <v>6.7779557772514654E-2</v>
      </c>
      <c r="AC30" s="35">
        <v>3.1598208903526992E-2</v>
      </c>
      <c r="AD30" s="35">
        <v>2.0952367289378611E-2</v>
      </c>
      <c r="AE30" s="35">
        <v>7.6849083594948565E-3</v>
      </c>
      <c r="AF30" s="35">
        <v>3.2095899553835293E-3</v>
      </c>
      <c r="AG30" s="35">
        <v>1.6481023681805187E-3</v>
      </c>
      <c r="AH30" s="34">
        <v>6.7327911678028235E-2</v>
      </c>
      <c r="AI30" s="35">
        <v>3.3190644116102355E-2</v>
      </c>
      <c r="AJ30" s="35">
        <v>1.3251457617323787E-2</v>
      </c>
      <c r="AK30" s="62">
        <v>5.3827939182466197E-3</v>
      </c>
    </row>
    <row r="31" spans="1:37" x14ac:dyDescent="0.25">
      <c r="B31" s="1">
        <v>29</v>
      </c>
      <c r="C31" s="34">
        <v>0.20199999999999999</v>
      </c>
      <c r="D31" s="35">
        <v>0</v>
      </c>
      <c r="E31" s="35">
        <v>0.17699999999999999</v>
      </c>
      <c r="F31" s="35">
        <v>0.621</v>
      </c>
      <c r="G31" s="30">
        <v>260</v>
      </c>
      <c r="H31" s="31">
        <v>2</v>
      </c>
      <c r="I31" s="10">
        <v>24000</v>
      </c>
      <c r="J31" s="30">
        <v>321.4936044485533</v>
      </c>
      <c r="K31" s="35">
        <v>0.37142653506144457</v>
      </c>
      <c r="L31" s="34">
        <v>0.1600577671093221</v>
      </c>
      <c r="M31" s="35">
        <v>0.2053270438920459</v>
      </c>
      <c r="N31" s="35">
        <v>0.28762630163745001</v>
      </c>
      <c r="O31" s="35">
        <v>0.16189344363830685</v>
      </c>
      <c r="P31" s="35">
        <v>5.8436671800745944E-2</v>
      </c>
      <c r="Q31" s="35">
        <v>0.12665877192212932</v>
      </c>
      <c r="R31" s="34">
        <f t="shared" si="0"/>
        <v>0.36538481100136799</v>
      </c>
      <c r="S31" s="34">
        <v>0.10487160140149492</v>
      </c>
      <c r="T31" s="35">
        <v>5.9962956053745832E-2</v>
      </c>
      <c r="U31" s="35">
        <v>4.2153116055684191E-2</v>
      </c>
      <c r="V31" s="35">
        <v>2.7425696287107938E-2</v>
      </c>
      <c r="W31" s="35">
        <v>1.8233232126406814E-2</v>
      </c>
      <c r="X31" s="35">
        <v>1.3900287535467652E-2</v>
      </c>
      <c r="Y31" s="35">
        <v>9.5429536183189306E-3</v>
      </c>
      <c r="Z31" s="35">
        <v>1.1536458559223754E-2</v>
      </c>
      <c r="AA31" s="34">
        <v>1.3041101637967201E-2</v>
      </c>
      <c r="AB31" s="35">
        <v>7.5878077015508874E-2</v>
      </c>
      <c r="AC31" s="35">
        <v>3.6719292985226776E-2</v>
      </c>
      <c r="AD31" s="35">
        <v>2.2101234840945099E-2</v>
      </c>
      <c r="AE31" s="35">
        <v>8.621970165646517E-3</v>
      </c>
      <c r="AF31" s="35">
        <v>3.7527228792869544E-3</v>
      </c>
      <c r="AG31" s="35">
        <v>1.779044113725434E-3</v>
      </c>
      <c r="AH31" s="34">
        <v>7.160018806662477E-2</v>
      </c>
      <c r="AI31" s="35">
        <v>3.4518824209447289E-2</v>
      </c>
      <c r="AJ31" s="35">
        <v>1.2029872457310206E-2</v>
      </c>
      <c r="AK31" s="62">
        <v>8.5098871887470465E-3</v>
      </c>
    </row>
    <row r="32" spans="1:37" x14ac:dyDescent="0.25">
      <c r="B32" s="1">
        <v>30</v>
      </c>
      <c r="C32" s="34">
        <v>0.43799999999999994</v>
      </c>
      <c r="D32" s="35">
        <v>0</v>
      </c>
      <c r="E32" s="35">
        <v>0.12</v>
      </c>
      <c r="F32" s="35">
        <v>0.442</v>
      </c>
      <c r="G32" s="30">
        <v>260</v>
      </c>
      <c r="H32" s="31">
        <v>2</v>
      </c>
      <c r="I32" s="10">
        <v>24000</v>
      </c>
      <c r="J32" s="30">
        <v>121.69991165283945</v>
      </c>
      <c r="K32" s="35">
        <v>8.3708541009742496E-2</v>
      </c>
      <c r="L32" s="34">
        <v>8.7785459510553679E-2</v>
      </c>
      <c r="M32" s="35">
        <v>0.27071173180422309</v>
      </c>
      <c r="N32" s="35">
        <v>0.23054603737534257</v>
      </c>
      <c r="O32" s="35">
        <v>0.17795522797133334</v>
      </c>
      <c r="P32" s="35">
        <v>9.0424126395795432E-2</v>
      </c>
      <c r="Q32" s="35">
        <v>0.14257741694274939</v>
      </c>
      <c r="R32" s="34">
        <f t="shared" si="0"/>
        <v>0.35849719131477675</v>
      </c>
      <c r="S32" s="34">
        <v>8.6603707118626597E-2</v>
      </c>
      <c r="T32" s="35">
        <v>4.4437700858778031E-2</v>
      </c>
      <c r="U32" s="35">
        <v>3.3784128726544863E-2</v>
      </c>
      <c r="V32" s="35">
        <v>2.2479437678761292E-2</v>
      </c>
      <c r="W32" s="35">
        <v>1.5805849040057912E-2</v>
      </c>
      <c r="X32" s="35">
        <v>1.2264442471199691E-2</v>
      </c>
      <c r="Y32" s="35">
        <v>9.0059952256625123E-3</v>
      </c>
      <c r="Z32" s="35">
        <v>6.1647762557116986E-3</v>
      </c>
      <c r="AA32" s="34">
        <v>2.2339170829150285E-2</v>
      </c>
      <c r="AB32" s="35">
        <v>7.7842738161241126E-2</v>
      </c>
      <c r="AC32" s="35">
        <v>3.7987057244443727E-2</v>
      </c>
      <c r="AD32" s="35">
        <v>2.406507997699699E-2</v>
      </c>
      <c r="AE32" s="35">
        <v>9.306824947352417E-3</v>
      </c>
      <c r="AF32" s="35">
        <v>4.3413313153383521E-3</v>
      </c>
      <c r="AG32" s="35">
        <v>2.0730254968104531E-3</v>
      </c>
      <c r="AH32" s="34">
        <v>8.4586535013971093E-2</v>
      </c>
      <c r="AI32" s="35">
        <v>3.8071751639970654E-2</v>
      </c>
      <c r="AJ32" s="35">
        <v>1.1861075639811682E-2</v>
      </c>
      <c r="AK32" s="62">
        <v>8.058054648995977E-3</v>
      </c>
    </row>
    <row r="33" spans="1:37" x14ac:dyDescent="0.25">
      <c r="A33" s="2"/>
      <c r="B33" s="2">
        <v>31</v>
      </c>
      <c r="C33" s="46">
        <v>0.38400000000000001</v>
      </c>
      <c r="D33" s="47">
        <v>0.20199999999999999</v>
      </c>
      <c r="E33" s="47">
        <v>0</v>
      </c>
      <c r="F33" s="47">
        <v>0.41399999999999998</v>
      </c>
      <c r="G33" s="42">
        <v>260</v>
      </c>
      <c r="H33" s="43">
        <v>2</v>
      </c>
      <c r="I33" s="15">
        <v>24000</v>
      </c>
      <c r="J33" s="42">
        <v>64.037552296993013</v>
      </c>
      <c r="K33" s="47">
        <v>0.10732005298778047</v>
      </c>
      <c r="L33" s="46">
        <v>0.11653650762926317</v>
      </c>
      <c r="M33" s="47">
        <v>0.23607418991633025</v>
      </c>
      <c r="N33" s="47">
        <v>0.30165989546692318</v>
      </c>
      <c r="O33" s="47">
        <v>0.19043164587339845</v>
      </c>
      <c r="P33" s="47">
        <v>8.2803294374885178E-2</v>
      </c>
      <c r="Q33" s="47">
        <v>7.2494466739198057E-2</v>
      </c>
      <c r="R33" s="46">
        <f t="shared" si="0"/>
        <v>0.35261069754559343</v>
      </c>
      <c r="S33" s="46">
        <v>6.7458071076169426E-2</v>
      </c>
      <c r="T33" s="47">
        <v>3.8982143255017171E-2</v>
      </c>
      <c r="U33" s="47">
        <v>4.0418266318451267E-2</v>
      </c>
      <c r="V33" s="47">
        <v>3.5686334948278796E-2</v>
      </c>
      <c r="W33" s="47">
        <v>2.8851905268609108E-2</v>
      </c>
      <c r="X33" s="47">
        <v>2.9576929601513945E-2</v>
      </c>
      <c r="Y33" s="47">
        <v>2.9082730823482512E-2</v>
      </c>
      <c r="Z33" s="47">
        <v>3.1603514175400887E-2</v>
      </c>
      <c r="AA33" s="46">
        <v>1.4910850282171368E-2</v>
      </c>
      <c r="AB33" s="47">
        <v>6.5980904785063979E-2</v>
      </c>
      <c r="AC33" s="47">
        <v>4.0046532797805859E-2</v>
      </c>
      <c r="AD33" s="47">
        <v>3.3348655186665868E-2</v>
      </c>
      <c r="AE33" s="47">
        <v>1.7590803320968892E-2</v>
      </c>
      <c r="AF33" s="47">
        <v>1.0265301596147009E-2</v>
      </c>
      <c r="AG33" s="47">
        <v>8.2885979045754423E-3</v>
      </c>
      <c r="AH33" s="46">
        <v>4.3069840674413114E-2</v>
      </c>
      <c r="AI33" s="47">
        <v>1.7233953466399811E-2</v>
      </c>
      <c r="AJ33" s="47">
        <v>7.0772735974713669E-3</v>
      </c>
      <c r="AK33" s="63">
        <v>5.1133990009137563E-3</v>
      </c>
    </row>
  </sheetData>
  <mergeCells count="8">
    <mergeCell ref="B1:B2"/>
    <mergeCell ref="AH1:AK1"/>
    <mergeCell ref="J1:K1"/>
    <mergeCell ref="L1:Q1"/>
    <mergeCell ref="C1:F1"/>
    <mergeCell ref="G1:I1"/>
    <mergeCell ref="S1:Z1"/>
    <mergeCell ref="AA1:A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2"/>
  <sheetViews>
    <sheetView zoomScale="70" zoomScaleNormal="70" workbookViewId="0">
      <pane ySplit="2" topLeftCell="A3" activePane="bottomLeft" state="frozen"/>
      <selection pane="bottomLeft"/>
    </sheetView>
  </sheetViews>
  <sheetFormatPr defaultColWidth="9.140625" defaultRowHeight="15.75" x14ac:dyDescent="0.25"/>
  <cols>
    <col min="1" max="2" width="9.140625" style="1"/>
    <col min="3" max="3" width="9.140625" style="5"/>
    <col min="4" max="6" width="9.140625" style="1"/>
    <col min="7" max="7" width="20" style="7" bestFit="1" customWidth="1"/>
    <col min="8" max="8" width="14" style="7" bestFit="1" customWidth="1"/>
    <col min="9" max="9" width="9.140625" style="5"/>
    <col min="10" max="12" width="9.140625" style="1"/>
    <col min="13" max="13" width="9.140625" style="5"/>
    <col min="14" max="14" width="9.140625" style="1"/>
    <col min="15" max="15" width="20.28515625" style="1" customWidth="1"/>
    <col min="16" max="16" width="20" style="8" customWidth="1"/>
    <col min="17" max="17" width="15.28515625" style="1" bestFit="1" customWidth="1"/>
    <col min="18" max="18" width="9.140625" style="5"/>
    <col min="19" max="23" width="9.140625" style="1"/>
    <col min="24" max="25" width="9.140625" style="5"/>
    <col min="26" max="32" width="9.140625" style="1"/>
    <col min="33" max="33" width="9.140625" style="5"/>
    <col min="34" max="39" width="9.140625" style="1"/>
    <col min="40" max="40" width="9.140625" style="5"/>
    <col min="41" max="42" width="9.140625" style="1"/>
    <col min="43" max="43" width="9.140625" style="9"/>
    <col min="44" max="16384" width="9.140625" style="1"/>
  </cols>
  <sheetData>
    <row r="1" spans="1:43" s="10" customFormat="1" x14ac:dyDescent="0.25">
      <c r="B1" s="97" t="s">
        <v>11</v>
      </c>
      <c r="C1" s="99" t="s">
        <v>39</v>
      </c>
      <c r="D1" s="100"/>
      <c r="E1" s="100"/>
      <c r="F1" s="100"/>
      <c r="G1" s="66" t="s">
        <v>36</v>
      </c>
      <c r="H1" s="101" t="s">
        <v>40</v>
      </c>
      <c r="I1" s="91" t="s">
        <v>19</v>
      </c>
      <c r="J1" s="92"/>
      <c r="K1" s="92"/>
      <c r="L1" s="92"/>
      <c r="M1" s="91" t="s">
        <v>32</v>
      </c>
      <c r="N1" s="92"/>
      <c r="O1" s="92"/>
      <c r="P1" s="88" t="s">
        <v>37</v>
      </c>
      <c r="Q1" s="89"/>
      <c r="R1" s="88" t="s">
        <v>38</v>
      </c>
      <c r="S1" s="90"/>
      <c r="T1" s="90"/>
      <c r="U1" s="90"/>
      <c r="V1" s="90"/>
      <c r="W1" s="90"/>
      <c r="X1" s="70" t="s">
        <v>30</v>
      </c>
      <c r="Y1" s="93" t="s">
        <v>6</v>
      </c>
      <c r="Z1" s="94"/>
      <c r="AA1" s="94"/>
      <c r="AB1" s="94"/>
      <c r="AC1" s="94"/>
      <c r="AD1" s="94"/>
      <c r="AE1" s="94"/>
      <c r="AF1" s="94"/>
      <c r="AG1" s="95" t="s">
        <v>5</v>
      </c>
      <c r="AH1" s="96"/>
      <c r="AI1" s="96"/>
      <c r="AJ1" s="96"/>
      <c r="AK1" s="96"/>
      <c r="AL1" s="96"/>
      <c r="AM1" s="96"/>
      <c r="AN1" s="86" t="s">
        <v>8</v>
      </c>
      <c r="AO1" s="87"/>
      <c r="AP1" s="87"/>
      <c r="AQ1" s="87"/>
    </row>
    <row r="2" spans="1:43" s="10" customFormat="1" ht="18.75" x14ac:dyDescent="0.25">
      <c r="A2" s="15"/>
      <c r="B2" s="98"/>
      <c r="C2" s="67" t="s">
        <v>0</v>
      </c>
      <c r="D2" s="68" t="s">
        <v>1</v>
      </c>
      <c r="E2" s="68" t="s">
        <v>2</v>
      </c>
      <c r="F2" s="68" t="s">
        <v>3</v>
      </c>
      <c r="G2" s="69" t="s">
        <v>20</v>
      </c>
      <c r="H2" s="102"/>
      <c r="I2" s="16" t="s">
        <v>0</v>
      </c>
      <c r="J2" s="17" t="s">
        <v>1</v>
      </c>
      <c r="K2" s="17" t="s">
        <v>2</v>
      </c>
      <c r="L2" s="17" t="s">
        <v>3</v>
      </c>
      <c r="M2" s="16" t="s">
        <v>4</v>
      </c>
      <c r="N2" s="17" t="s">
        <v>33</v>
      </c>
      <c r="O2" s="17" t="s">
        <v>31</v>
      </c>
      <c r="P2" s="18" t="s">
        <v>20</v>
      </c>
      <c r="Q2" s="19" t="s">
        <v>29</v>
      </c>
      <c r="R2" s="20" t="s">
        <v>34</v>
      </c>
      <c r="S2" s="21" t="s">
        <v>35</v>
      </c>
      <c r="T2" s="12" t="s">
        <v>6</v>
      </c>
      <c r="U2" s="13" t="s">
        <v>5</v>
      </c>
      <c r="V2" s="22" t="s">
        <v>7</v>
      </c>
      <c r="W2" s="14" t="s">
        <v>8</v>
      </c>
      <c r="X2" s="23" t="s">
        <v>9</v>
      </c>
      <c r="Y2" s="24" t="s">
        <v>21</v>
      </c>
      <c r="Z2" s="25" t="s">
        <v>22</v>
      </c>
      <c r="AA2" s="25" t="s">
        <v>23</v>
      </c>
      <c r="AB2" s="25" t="s">
        <v>24</v>
      </c>
      <c r="AC2" s="25" t="s">
        <v>25</v>
      </c>
      <c r="AD2" s="25" t="s">
        <v>26</v>
      </c>
      <c r="AE2" s="25" t="s">
        <v>27</v>
      </c>
      <c r="AF2" s="25" t="s">
        <v>44</v>
      </c>
      <c r="AG2" s="24" t="s">
        <v>21</v>
      </c>
      <c r="AH2" s="25" t="s">
        <v>22</v>
      </c>
      <c r="AI2" s="25" t="s">
        <v>23</v>
      </c>
      <c r="AJ2" s="25" t="s">
        <v>24</v>
      </c>
      <c r="AK2" s="25" t="s">
        <v>25</v>
      </c>
      <c r="AL2" s="25" t="s">
        <v>26</v>
      </c>
      <c r="AM2" s="25" t="s">
        <v>47</v>
      </c>
      <c r="AN2" s="24" t="s">
        <v>21</v>
      </c>
      <c r="AO2" s="25" t="s">
        <v>22</v>
      </c>
      <c r="AP2" s="25" t="s">
        <v>23</v>
      </c>
      <c r="AQ2" s="26" t="s">
        <v>45</v>
      </c>
    </row>
    <row r="3" spans="1:43" x14ac:dyDescent="0.25">
      <c r="A3" s="27" t="s">
        <v>12</v>
      </c>
      <c r="B3" s="10">
        <v>1</v>
      </c>
      <c r="C3" s="28">
        <v>0.1</v>
      </c>
      <c r="D3" s="29">
        <v>0.49</v>
      </c>
      <c r="E3" s="29">
        <v>0.2</v>
      </c>
      <c r="F3" s="29">
        <v>0.21</v>
      </c>
      <c r="G3" s="33">
        <v>137.53</v>
      </c>
      <c r="H3" s="103" t="s">
        <v>18</v>
      </c>
      <c r="I3" s="34">
        <v>0.10100000000000001</v>
      </c>
      <c r="J3" s="35">
        <v>0.47799999999999998</v>
      </c>
      <c r="K3" s="35">
        <v>0.21299999999999999</v>
      </c>
      <c r="L3" s="35">
        <v>0.20799999999999999</v>
      </c>
      <c r="M3" s="30">
        <v>260</v>
      </c>
      <c r="N3" s="31">
        <v>2</v>
      </c>
      <c r="O3" s="10">
        <v>24000</v>
      </c>
      <c r="P3" s="30">
        <v>158.55596283119843</v>
      </c>
      <c r="Q3" s="35">
        <v>0.13059392500003866</v>
      </c>
      <c r="R3" s="37">
        <v>8.0691436604720029E-2</v>
      </c>
      <c r="S3" s="38">
        <v>0.25948468922522105</v>
      </c>
      <c r="T3" s="38">
        <v>0.23651589539849641</v>
      </c>
      <c r="U3" s="38">
        <v>0.19999824217280232</v>
      </c>
      <c r="V3" s="38">
        <v>7.8394109414648028E-2</v>
      </c>
      <c r="W3" s="38">
        <v>0.14491562718411125</v>
      </c>
      <c r="X3" s="34">
        <f t="shared" ref="X3:X32" si="0">R3+S3</f>
        <v>0.34017612582994106</v>
      </c>
      <c r="Y3" s="34">
        <v>0.10794890965628592</v>
      </c>
      <c r="Z3" s="35">
        <v>4.3269993743035549E-2</v>
      </c>
      <c r="AA3" s="35">
        <v>3.2813300752609957E-2</v>
      </c>
      <c r="AB3" s="35">
        <v>1.9997085733064086E-2</v>
      </c>
      <c r="AC3" s="35">
        <v>1.2856628792382026E-2</v>
      </c>
      <c r="AD3" s="35">
        <v>8.1058711865278008E-3</v>
      </c>
      <c r="AE3" s="35">
        <v>6.5329068309584147E-3</v>
      </c>
      <c r="AF3" s="35">
        <v>4.9911987036326336E-3</v>
      </c>
      <c r="AG3" s="34">
        <v>2.8157535468887315E-2</v>
      </c>
      <c r="AH3" s="35">
        <v>9.7145922927418263E-2</v>
      </c>
      <c r="AI3" s="35">
        <v>4.2620385908587591E-2</v>
      </c>
      <c r="AJ3" s="35">
        <v>2.1003502048646913E-2</v>
      </c>
      <c r="AK3" s="35">
        <v>6.9950583959774333E-3</v>
      </c>
      <c r="AL3" s="35">
        <v>2.856028426393405E-3</v>
      </c>
      <c r="AM3" s="35">
        <v>1.2198089968913821E-3</v>
      </c>
      <c r="AN3" s="34">
        <v>7.9704821317428981E-2</v>
      </c>
      <c r="AO3" s="35">
        <v>4.6413120805766414E-2</v>
      </c>
      <c r="AP3" s="35">
        <v>1.2454982639292646E-2</v>
      </c>
      <c r="AQ3" s="62">
        <v>6.3427024216232177E-3</v>
      </c>
    </row>
    <row r="4" spans="1:43" x14ac:dyDescent="0.25">
      <c r="A4" s="10"/>
      <c r="B4" s="10">
        <v>2</v>
      </c>
      <c r="C4" s="28">
        <v>0.1</v>
      </c>
      <c r="D4" s="29">
        <v>0.2</v>
      </c>
      <c r="E4" s="29">
        <v>0.48</v>
      </c>
      <c r="F4" s="29">
        <v>0.22</v>
      </c>
      <c r="G4" s="33">
        <v>159.16999999999999</v>
      </c>
      <c r="H4" s="104"/>
      <c r="I4" s="34">
        <v>0.10100000000000001</v>
      </c>
      <c r="J4" s="35">
        <v>0.20200000000000001</v>
      </c>
      <c r="K4" s="35">
        <v>0.48</v>
      </c>
      <c r="L4" s="35">
        <v>0.217</v>
      </c>
      <c r="M4" s="30">
        <v>260</v>
      </c>
      <c r="N4" s="31">
        <v>2</v>
      </c>
      <c r="O4" s="10">
        <v>24000</v>
      </c>
      <c r="P4" s="30">
        <v>220.11616108104374</v>
      </c>
      <c r="Q4" s="35">
        <v>0.23773320737798448</v>
      </c>
      <c r="R4" s="37">
        <v>5.7022841193242649E-2</v>
      </c>
      <c r="S4" s="38">
        <v>0.17853230342283444</v>
      </c>
      <c r="T4" s="38">
        <v>0.33076393353055678</v>
      </c>
      <c r="U4" s="38">
        <v>0.30601026382022511</v>
      </c>
      <c r="V4" s="38">
        <v>2.0118499319323319E-2</v>
      </c>
      <c r="W4" s="38">
        <v>0.10755215871381803</v>
      </c>
      <c r="X4" s="34">
        <f t="shared" si="0"/>
        <v>0.23555514461607707</v>
      </c>
      <c r="Y4" s="34">
        <v>0.10080308843080593</v>
      </c>
      <c r="Z4" s="35">
        <v>6.4236629157383179E-2</v>
      </c>
      <c r="AA4" s="35">
        <v>5.5856406691364616E-2</v>
      </c>
      <c r="AB4" s="35">
        <v>3.6425784239476108E-2</v>
      </c>
      <c r="AC4" s="35">
        <v>2.6854358479157597E-2</v>
      </c>
      <c r="AD4" s="35">
        <v>1.9923457042141705E-2</v>
      </c>
      <c r="AE4" s="35">
        <v>1.5203228351723979E-2</v>
      </c>
      <c r="AF4" s="35">
        <v>1.1460981138503617E-2</v>
      </c>
      <c r="AG4" s="34">
        <v>1.8177298376511927E-2</v>
      </c>
      <c r="AH4" s="35">
        <v>0.1393949605419578</v>
      </c>
      <c r="AI4" s="35">
        <v>7.3940007275395153E-2</v>
      </c>
      <c r="AJ4" s="35">
        <v>4.3154936114683379E-2</v>
      </c>
      <c r="AK4" s="35">
        <v>1.8460340154264298E-2</v>
      </c>
      <c r="AL4" s="35">
        <v>8.810450310899675E-3</v>
      </c>
      <c r="AM4" s="35">
        <v>4.0722710465129312E-3</v>
      </c>
      <c r="AN4" s="34">
        <v>4.7342445878157016E-2</v>
      </c>
      <c r="AO4" s="35">
        <v>3.6817162275677634E-2</v>
      </c>
      <c r="AP4" s="35">
        <v>1.8004721665380342E-2</v>
      </c>
      <c r="AQ4" s="62">
        <v>5.3878288946030261E-3</v>
      </c>
    </row>
    <row r="5" spans="1:43" x14ac:dyDescent="0.25">
      <c r="A5" s="10"/>
      <c r="B5" s="10">
        <v>3</v>
      </c>
      <c r="C5" s="28">
        <v>0.1</v>
      </c>
      <c r="D5" s="29">
        <v>0.42</v>
      </c>
      <c r="E5" s="29">
        <v>0.1</v>
      </c>
      <c r="F5" s="29">
        <v>0.38</v>
      </c>
      <c r="G5" s="33">
        <v>198.38</v>
      </c>
      <c r="H5" s="104"/>
      <c r="I5" s="34">
        <v>0.11700000000000001</v>
      </c>
      <c r="J5" s="35">
        <v>0.42099999999999999</v>
      </c>
      <c r="K5" s="35">
        <v>0.104</v>
      </c>
      <c r="L5" s="35">
        <v>0.36</v>
      </c>
      <c r="M5" s="30">
        <v>260</v>
      </c>
      <c r="N5" s="31">
        <v>2</v>
      </c>
      <c r="O5" s="10">
        <v>24000</v>
      </c>
      <c r="P5" s="30">
        <v>242.50257903850257</v>
      </c>
      <c r="Q5" s="35">
        <v>0.16578646805162045</v>
      </c>
      <c r="R5" s="37">
        <v>0.10058352403465312</v>
      </c>
      <c r="S5" s="39">
        <v>0.25389072484134212</v>
      </c>
      <c r="T5" s="39">
        <v>0.27472589405090969</v>
      </c>
      <c r="U5" s="39">
        <v>0.12740390618680114</v>
      </c>
      <c r="V5" s="39">
        <v>8.5494489997871154E-2</v>
      </c>
      <c r="W5" s="39">
        <v>0.15790146088842394</v>
      </c>
      <c r="X5" s="34">
        <f t="shared" si="0"/>
        <v>0.35447424887599521</v>
      </c>
      <c r="Y5" s="34">
        <v>0.11096584497732806</v>
      </c>
      <c r="Z5" s="35">
        <v>5.6811609328362808E-2</v>
      </c>
      <c r="AA5" s="35">
        <v>4.179052982928412E-2</v>
      </c>
      <c r="AB5" s="35">
        <v>2.4940983088805192E-2</v>
      </c>
      <c r="AC5" s="35">
        <v>1.5710886542969954E-2</v>
      </c>
      <c r="AD5" s="35">
        <v>1.0487310674031193E-2</v>
      </c>
      <c r="AE5" s="35">
        <v>7.8545674941470807E-3</v>
      </c>
      <c r="AF5" s="35">
        <v>6.1641621159813078E-3</v>
      </c>
      <c r="AG5" s="34">
        <v>1.4801438223937903E-2</v>
      </c>
      <c r="AH5" s="35">
        <v>7.0717965189052906E-2</v>
      </c>
      <c r="AI5" s="35">
        <v>2.8867059195494444E-2</v>
      </c>
      <c r="AJ5" s="35">
        <v>4.3506530440179467E-3</v>
      </c>
      <c r="AK5" s="35">
        <v>5.7851999790738528E-3</v>
      </c>
      <c r="AL5" s="35">
        <v>1.8740171192831688E-3</v>
      </c>
      <c r="AM5" s="35">
        <v>1.0075734359409276E-3</v>
      </c>
      <c r="AN5" s="34">
        <v>9.4343751167549908E-2</v>
      </c>
      <c r="AO5" s="35">
        <v>4.2384300664395816E-2</v>
      </c>
      <c r="AP5" s="35">
        <v>1.472065161042968E-2</v>
      </c>
      <c r="AQ5" s="62">
        <v>6.4527574460485322E-3</v>
      </c>
    </row>
    <row r="6" spans="1:43" x14ac:dyDescent="0.25">
      <c r="A6" s="10"/>
      <c r="B6" s="10">
        <v>4</v>
      </c>
      <c r="C6" s="28">
        <v>0.1</v>
      </c>
      <c r="D6" s="29">
        <v>0.2</v>
      </c>
      <c r="E6" s="29">
        <v>0.22</v>
      </c>
      <c r="F6" s="29">
        <v>0.48</v>
      </c>
      <c r="G6" s="33">
        <v>270.86</v>
      </c>
      <c r="H6" s="104"/>
      <c r="I6" s="34">
        <v>9.6600000000000005E-2</v>
      </c>
      <c r="J6" s="35">
        <v>0.20100000000000001</v>
      </c>
      <c r="K6" s="35">
        <v>0.23</v>
      </c>
      <c r="L6" s="35">
        <v>0.46500000000000002</v>
      </c>
      <c r="M6" s="30">
        <v>260</v>
      </c>
      <c r="N6" s="31">
        <v>2</v>
      </c>
      <c r="O6" s="10">
        <v>24000</v>
      </c>
      <c r="P6" s="30">
        <v>270.21420254383872</v>
      </c>
      <c r="Q6" s="35">
        <v>0.19507410043329015</v>
      </c>
      <c r="R6" s="37">
        <v>0.10942026051166523</v>
      </c>
      <c r="S6" s="38">
        <v>0.22273574547411956</v>
      </c>
      <c r="T6" s="38">
        <v>0.27362483409143717</v>
      </c>
      <c r="U6" s="38">
        <v>0.17799365267167391</v>
      </c>
      <c r="V6" s="38">
        <v>6.3649260815169278E-2</v>
      </c>
      <c r="W6" s="38">
        <v>0.15257624643593493</v>
      </c>
      <c r="X6" s="34">
        <f t="shared" si="0"/>
        <v>0.33215600598578476</v>
      </c>
      <c r="Y6" s="34">
        <v>0.11090989616897888</v>
      </c>
      <c r="Z6" s="35">
        <v>5.3941336265968136E-2</v>
      </c>
      <c r="AA6" s="35">
        <v>4.2013964243624247E-2</v>
      </c>
      <c r="AB6" s="35">
        <v>2.5787540224229438E-2</v>
      </c>
      <c r="AC6" s="35">
        <v>1.7080649740942325E-2</v>
      </c>
      <c r="AD6" s="35">
        <v>1.1556030637729715E-2</v>
      </c>
      <c r="AE6" s="35">
        <v>8.3736599438109516E-3</v>
      </c>
      <c r="AF6" s="35">
        <v>3.9617568661535338E-3</v>
      </c>
      <c r="AG6" s="34">
        <v>1.7690505987691646E-2</v>
      </c>
      <c r="AH6" s="35">
        <v>9.5645224195936157E-2</v>
      </c>
      <c r="AI6" s="35">
        <v>4.4581928269216496E-2</v>
      </c>
      <c r="AJ6" s="35">
        <v>1.4757849680483479E-2</v>
      </c>
      <c r="AK6" s="35">
        <v>1.6120307575776234E-3</v>
      </c>
      <c r="AL6" s="35">
        <v>2.6403010046695892E-3</v>
      </c>
      <c r="AM6" s="35">
        <v>1.0658127760989271E-3</v>
      </c>
      <c r="AN6" s="34">
        <v>8.1353096381094364E-2</v>
      </c>
      <c r="AO6" s="35">
        <v>4.7145482114759184E-2</v>
      </c>
      <c r="AP6" s="35">
        <v>1.7137025620942145E-2</v>
      </c>
      <c r="AQ6" s="62">
        <v>6.9406423191392258E-3</v>
      </c>
    </row>
    <row r="7" spans="1:43" x14ac:dyDescent="0.25">
      <c r="A7" s="10"/>
      <c r="B7" s="10">
        <v>5</v>
      </c>
      <c r="C7" s="28">
        <v>0.12</v>
      </c>
      <c r="D7" s="29">
        <v>0.1</v>
      </c>
      <c r="E7" s="29">
        <v>0.41</v>
      </c>
      <c r="F7" s="29">
        <v>0.37</v>
      </c>
      <c r="G7" s="33">
        <v>228.67</v>
      </c>
      <c r="H7" s="104"/>
      <c r="I7" s="34">
        <v>0.128</v>
      </c>
      <c r="J7" s="35">
        <v>0.112</v>
      </c>
      <c r="K7" s="35">
        <v>0.40100000000000002</v>
      </c>
      <c r="L7" s="35">
        <v>0.35899999999999999</v>
      </c>
      <c r="M7" s="30">
        <v>260</v>
      </c>
      <c r="N7" s="31">
        <v>2</v>
      </c>
      <c r="O7" s="10">
        <v>24000</v>
      </c>
      <c r="P7" s="30">
        <v>278.5895707416114</v>
      </c>
      <c r="Q7" s="35">
        <v>0.18969652251477537</v>
      </c>
      <c r="R7" s="37">
        <v>0.10098820457384863</v>
      </c>
      <c r="S7" s="39">
        <v>0.23161743811828586</v>
      </c>
      <c r="T7" s="39">
        <v>0.25946179229185096</v>
      </c>
      <c r="U7" s="39">
        <v>0.18985027478665278</v>
      </c>
      <c r="V7" s="39">
        <v>5.3324574666088496E-2</v>
      </c>
      <c r="W7" s="39">
        <v>0.16475771556327434</v>
      </c>
      <c r="X7" s="34">
        <f t="shared" si="0"/>
        <v>0.3326056426921345</v>
      </c>
      <c r="Y7" s="34">
        <v>0.11791168667602207</v>
      </c>
      <c r="Z7" s="35">
        <v>4.9607413307499584E-2</v>
      </c>
      <c r="AA7" s="35">
        <v>3.6911452244880877E-2</v>
      </c>
      <c r="AB7" s="35">
        <v>2.1427155451690126E-2</v>
      </c>
      <c r="AC7" s="35">
        <v>1.385799224587262E-2</v>
      </c>
      <c r="AD7" s="35">
        <v>8.8790437485446808E-3</v>
      </c>
      <c r="AE7" s="35">
        <v>6.16952319647704E-3</v>
      </c>
      <c r="AF7" s="35">
        <v>4.6975254208639263E-3</v>
      </c>
      <c r="AG7" s="34">
        <v>2.5395953049915806E-2</v>
      </c>
      <c r="AH7" s="35">
        <v>0.10928966525237468</v>
      </c>
      <c r="AI7" s="35">
        <v>4.8584215718409388E-2</v>
      </c>
      <c r="AJ7" s="35">
        <v>3.7007038719770475E-3</v>
      </c>
      <c r="AK7" s="35">
        <v>1.3908260251996674E-3</v>
      </c>
      <c r="AL7" s="35">
        <v>1.4889108687762263E-3</v>
      </c>
      <c r="AM7" s="35">
        <v>0</v>
      </c>
      <c r="AN7" s="34">
        <v>8.3038628003919535E-2</v>
      </c>
      <c r="AO7" s="35">
        <v>5.570752640046505E-2</v>
      </c>
      <c r="AP7" s="35">
        <v>1.835775046679983E-2</v>
      </c>
      <c r="AQ7" s="62">
        <v>7.6538106920899258E-3</v>
      </c>
    </row>
    <row r="8" spans="1:43" x14ac:dyDescent="0.25">
      <c r="A8" s="15"/>
      <c r="B8" s="15">
        <v>6</v>
      </c>
      <c r="C8" s="40">
        <v>0.12</v>
      </c>
      <c r="D8" s="41">
        <v>0.1</v>
      </c>
      <c r="E8" s="41">
        <v>0.15</v>
      </c>
      <c r="F8" s="41">
        <v>0.63</v>
      </c>
      <c r="G8" s="45">
        <v>317.35000000000002</v>
      </c>
      <c r="H8" s="6" t="s">
        <v>10</v>
      </c>
      <c r="I8" s="46">
        <v>0.128</v>
      </c>
      <c r="J8" s="47">
        <v>0.107</v>
      </c>
      <c r="K8" s="47">
        <v>0.161</v>
      </c>
      <c r="L8" s="47">
        <v>0.60499999999999998</v>
      </c>
      <c r="M8" s="42">
        <v>260</v>
      </c>
      <c r="N8" s="43">
        <v>2</v>
      </c>
      <c r="O8" s="15">
        <v>24000</v>
      </c>
      <c r="P8" s="42">
        <v>304.80002790965455</v>
      </c>
      <c r="Q8" s="47">
        <v>0.27711097282522978</v>
      </c>
      <c r="R8" s="49">
        <v>0.14268776744101472</v>
      </c>
      <c r="S8" s="50">
        <v>0.23047164017619959</v>
      </c>
      <c r="T8" s="50">
        <v>0.26544726785448797</v>
      </c>
      <c r="U8" s="50">
        <v>0.13630167836720802</v>
      </c>
      <c r="V8" s="50">
        <v>7.7465478163700335E-2</v>
      </c>
      <c r="W8" s="50">
        <v>0.1476261679973892</v>
      </c>
      <c r="X8" s="46">
        <f t="shared" si="0"/>
        <v>0.37315940761721433</v>
      </c>
      <c r="Y8" s="46">
        <v>0.10626148039728339</v>
      </c>
      <c r="Z8" s="47">
        <v>5.509538905231777E-2</v>
      </c>
      <c r="AA8" s="47">
        <v>4.120465205064968E-2</v>
      </c>
      <c r="AB8" s="47">
        <v>2.4457624332270757E-2</v>
      </c>
      <c r="AC8" s="47">
        <v>1.5207699828157405E-2</v>
      </c>
      <c r="AD8" s="47">
        <v>1.0253535936737024E-2</v>
      </c>
      <c r="AE8" s="47">
        <v>7.243429726506127E-3</v>
      </c>
      <c r="AF8" s="47">
        <v>5.7234565305659072E-3</v>
      </c>
      <c r="AG8" s="46">
        <v>1.0431479817381331E-2</v>
      </c>
      <c r="AH8" s="47">
        <v>7.0231477400075695E-2</v>
      </c>
      <c r="AI8" s="47">
        <v>2.9887085931817867E-2</v>
      </c>
      <c r="AJ8" s="47">
        <v>1.7997531607785618E-2</v>
      </c>
      <c r="AK8" s="47">
        <v>6.0847050684834023E-3</v>
      </c>
      <c r="AL8" s="47">
        <v>1.6693985416640798E-3</v>
      </c>
      <c r="AM8" s="47">
        <v>0</v>
      </c>
      <c r="AN8" s="46">
        <v>8.8271774241111559E-2</v>
      </c>
      <c r="AO8" s="47">
        <v>4.0855464788194518E-2</v>
      </c>
      <c r="AP8" s="47">
        <v>1.3767551506721683E-2</v>
      </c>
      <c r="AQ8" s="63">
        <v>4.7313774613614717E-3</v>
      </c>
    </row>
    <row r="9" spans="1:43" x14ac:dyDescent="0.25">
      <c r="A9" s="27" t="s">
        <v>13</v>
      </c>
      <c r="B9" s="52">
        <v>1</v>
      </c>
      <c r="C9" s="28">
        <v>0.624</v>
      </c>
      <c r="D9" s="29">
        <v>0.05</v>
      </c>
      <c r="E9" s="29">
        <v>0.05</v>
      </c>
      <c r="F9" s="29">
        <v>0.27600000000000002</v>
      </c>
      <c r="G9" s="33">
        <v>133.01</v>
      </c>
      <c r="H9" s="103" t="s">
        <v>18</v>
      </c>
      <c r="I9" s="34">
        <v>0.62380710000000006</v>
      </c>
      <c r="J9" s="35">
        <v>5.2407920000000011E-2</v>
      </c>
      <c r="K9" s="35">
        <v>5.4359739999999997E-2</v>
      </c>
      <c r="L9" s="35">
        <v>0.26942525000000001</v>
      </c>
      <c r="M9" s="30">
        <v>260</v>
      </c>
      <c r="N9" s="31">
        <v>2</v>
      </c>
      <c r="O9" s="32">
        <v>24000</v>
      </c>
      <c r="P9" s="30">
        <v>44.529301856576225</v>
      </c>
      <c r="Q9" s="35">
        <v>8.5592416436969895E-2</v>
      </c>
      <c r="R9" s="34">
        <v>0.13494716222060665</v>
      </c>
      <c r="S9" s="35">
        <v>0.28255105185992868</v>
      </c>
      <c r="T9" s="35">
        <v>0.14497889152562091</v>
      </c>
      <c r="U9" s="35">
        <v>0.23678314435292092</v>
      </c>
      <c r="V9" s="35">
        <v>7.652868596210205E-2</v>
      </c>
      <c r="W9" s="35">
        <v>0.12421106407881996</v>
      </c>
      <c r="X9" s="34">
        <f t="shared" si="0"/>
        <v>0.41749821408053533</v>
      </c>
      <c r="Y9" s="34">
        <v>5.1752833524792388E-2</v>
      </c>
      <c r="Z9" s="35">
        <v>2.106080952253421E-2</v>
      </c>
      <c r="AA9" s="35">
        <v>1.894527838785931E-2</v>
      </c>
      <c r="AB9" s="35">
        <v>1.3147945120750328E-2</v>
      </c>
      <c r="AC9" s="35">
        <v>9.7989483137829736E-3</v>
      </c>
      <c r="AD9" s="35">
        <v>9.3568637705557928E-3</v>
      </c>
      <c r="AE9" s="35">
        <v>7.8624873054454619E-3</v>
      </c>
      <c r="AF9" s="35">
        <v>1.305372557990046E-2</v>
      </c>
      <c r="AG9" s="34">
        <v>5.3901107463056139E-2</v>
      </c>
      <c r="AH9" s="35">
        <v>8.9192704076755891E-2</v>
      </c>
      <c r="AI9" s="35">
        <v>4.7853263684506292E-2</v>
      </c>
      <c r="AJ9" s="35">
        <v>3.1935081756484116E-2</v>
      </c>
      <c r="AK9" s="35">
        <v>1.3900987372118477E-2</v>
      </c>
      <c r="AL9" s="35">
        <v>0</v>
      </c>
      <c r="AM9" s="35">
        <v>0</v>
      </c>
      <c r="AN9" s="34">
        <v>9.2049777185272547E-2</v>
      </c>
      <c r="AO9" s="35">
        <v>2.8826178257161623E-2</v>
      </c>
      <c r="AP9" s="35">
        <v>3.3351086363857881E-3</v>
      </c>
      <c r="AQ9" s="62">
        <v>0</v>
      </c>
    </row>
    <row r="10" spans="1:43" x14ac:dyDescent="0.25">
      <c r="A10" s="10"/>
      <c r="B10" s="10">
        <v>2</v>
      </c>
      <c r="C10" s="28">
        <v>0.05</v>
      </c>
      <c r="D10" s="29">
        <v>0.34899999999999998</v>
      </c>
      <c r="E10" s="29">
        <v>0.34799999999999998</v>
      </c>
      <c r="F10" s="29">
        <v>0.253</v>
      </c>
      <c r="G10" s="33">
        <v>166.36</v>
      </c>
      <c r="H10" s="104"/>
      <c r="I10" s="34">
        <v>5.1380669999999996E-2</v>
      </c>
      <c r="J10" s="35">
        <v>0.35058024999999998</v>
      </c>
      <c r="K10" s="35">
        <v>0.35663414999999998</v>
      </c>
      <c r="L10" s="35">
        <v>0.24140490000000001</v>
      </c>
      <c r="M10" s="30">
        <v>260</v>
      </c>
      <c r="N10" s="31">
        <v>2</v>
      </c>
      <c r="O10" s="32">
        <v>24000</v>
      </c>
      <c r="P10" s="30">
        <v>74.679921716265994</v>
      </c>
      <c r="Q10" s="35">
        <v>0.1002394672422019</v>
      </c>
      <c r="R10" s="34">
        <v>6.0071357042534287E-2</v>
      </c>
      <c r="S10" s="35">
        <v>0.26181772771198242</v>
      </c>
      <c r="T10" s="35">
        <v>0.27025872840145432</v>
      </c>
      <c r="U10" s="35">
        <v>0.25391351521677435</v>
      </c>
      <c r="V10" s="35">
        <v>4.4333922655147309E-2</v>
      </c>
      <c r="W10" s="35">
        <v>0.10960474897210727</v>
      </c>
      <c r="X10" s="34">
        <f t="shared" si="0"/>
        <v>0.32188908475451672</v>
      </c>
      <c r="Y10" s="34">
        <v>0.10288288619372131</v>
      </c>
      <c r="Z10" s="35">
        <v>5.1454873331017073E-2</v>
      </c>
      <c r="AA10" s="35">
        <v>4.064985425485413E-2</v>
      </c>
      <c r="AB10" s="35">
        <v>2.5153971980522244E-2</v>
      </c>
      <c r="AC10" s="35">
        <v>1.6702273757599854E-2</v>
      </c>
      <c r="AD10" s="35">
        <v>1.2609831418638745E-2</v>
      </c>
      <c r="AE10" s="35">
        <v>9.9411307519841688E-3</v>
      </c>
      <c r="AF10" s="35">
        <v>1.0863906713116753E-2</v>
      </c>
      <c r="AG10" s="34">
        <v>3.4741977997321802E-2</v>
      </c>
      <c r="AH10" s="35">
        <v>0.12125949089597739</v>
      </c>
      <c r="AI10" s="35">
        <v>5.6169389679706416E-2</v>
      </c>
      <c r="AJ10" s="35">
        <v>2.861032551191383E-2</v>
      </c>
      <c r="AK10" s="35">
        <v>1.075263395684134E-2</v>
      </c>
      <c r="AL10" s="35">
        <v>0</v>
      </c>
      <c r="AM10" s="35">
        <v>2.379697175013548E-3</v>
      </c>
      <c r="AN10" s="34">
        <v>6.0275992331547706E-2</v>
      </c>
      <c r="AO10" s="35">
        <v>3.6310272235447902E-2</v>
      </c>
      <c r="AP10" s="35">
        <v>8.3085708024818045E-3</v>
      </c>
      <c r="AQ10" s="62">
        <v>4.7099136026298623E-3</v>
      </c>
    </row>
    <row r="11" spans="1:43" x14ac:dyDescent="0.25">
      <c r="A11" s="10"/>
      <c r="B11" s="10">
        <v>3</v>
      </c>
      <c r="C11" s="28">
        <v>0.245</v>
      </c>
      <c r="D11" s="29">
        <v>0.26900000000000002</v>
      </c>
      <c r="E11" s="29">
        <v>0.20100000000000001</v>
      </c>
      <c r="F11" s="29">
        <v>0.28499999999999998</v>
      </c>
      <c r="G11" s="33">
        <v>221.93700000000001</v>
      </c>
      <c r="H11" s="104"/>
      <c r="I11" s="34">
        <v>0.24378215</v>
      </c>
      <c r="J11" s="35">
        <v>0.26560794999999998</v>
      </c>
      <c r="K11" s="35">
        <v>0.21141984999999999</v>
      </c>
      <c r="L11" s="35">
        <v>0.27919004999999997</v>
      </c>
      <c r="M11" s="30">
        <v>260</v>
      </c>
      <c r="N11" s="31">
        <v>2</v>
      </c>
      <c r="O11" s="32">
        <v>24000</v>
      </c>
      <c r="P11" s="30">
        <v>123.07537267381474</v>
      </c>
      <c r="Q11" s="35">
        <v>0.11133241080594075</v>
      </c>
      <c r="R11" s="34">
        <v>0.12660613465521048</v>
      </c>
      <c r="S11" s="35">
        <v>0.2449107798475112</v>
      </c>
      <c r="T11" s="35">
        <v>0.22356218057144886</v>
      </c>
      <c r="U11" s="35">
        <v>0.19209288967706278</v>
      </c>
      <c r="V11" s="35">
        <v>7.4067499796447805E-2</v>
      </c>
      <c r="W11" s="35">
        <v>0.13876051545231935</v>
      </c>
      <c r="X11" s="34">
        <f t="shared" si="0"/>
        <v>0.37151691450272167</v>
      </c>
      <c r="Y11" s="34">
        <v>9.6109205748447446E-2</v>
      </c>
      <c r="Z11" s="35">
        <v>4.0703278599836565E-2</v>
      </c>
      <c r="AA11" s="35">
        <v>3.2024688574368874E-2</v>
      </c>
      <c r="AB11" s="35">
        <v>1.9687523266720602E-2</v>
      </c>
      <c r="AC11" s="35">
        <v>1.3024163335522462E-2</v>
      </c>
      <c r="AD11" s="35">
        <v>9.5119314000276199E-3</v>
      </c>
      <c r="AE11" s="35">
        <v>7.0103328964754071E-3</v>
      </c>
      <c r="AF11" s="35">
        <v>5.4910567500498463E-3</v>
      </c>
      <c r="AG11" s="34">
        <v>2.675994011293209E-2</v>
      </c>
      <c r="AH11" s="35">
        <v>9.4387739125069869E-2</v>
      </c>
      <c r="AI11" s="35">
        <v>4.1808068846152222E-2</v>
      </c>
      <c r="AJ11" s="35">
        <v>2.1580920303170069E-2</v>
      </c>
      <c r="AK11" s="35">
        <v>7.5562212897385137E-3</v>
      </c>
      <c r="AL11" s="35">
        <v>0</v>
      </c>
      <c r="AM11" s="35">
        <v>0</v>
      </c>
      <c r="AN11" s="34">
        <v>7.9722648510970495E-2</v>
      </c>
      <c r="AO11" s="35">
        <v>4.3948482733669872E-2</v>
      </c>
      <c r="AP11" s="35">
        <v>1.1446109465414805E-2</v>
      </c>
      <c r="AQ11" s="62">
        <v>3.6432747422641804E-3</v>
      </c>
    </row>
    <row r="12" spans="1:43" x14ac:dyDescent="0.25">
      <c r="A12" s="10"/>
      <c r="B12" s="10">
        <v>4</v>
      </c>
      <c r="C12" s="28">
        <v>0.28499999999999998</v>
      </c>
      <c r="D12" s="29">
        <v>0.05</v>
      </c>
      <c r="E12" s="29">
        <v>0.33100000000000002</v>
      </c>
      <c r="F12" s="29">
        <v>0.33300000000000002</v>
      </c>
      <c r="G12" s="33">
        <v>228.80500000000001</v>
      </c>
      <c r="H12" s="104"/>
      <c r="I12" s="34">
        <v>0.27850530000000001</v>
      </c>
      <c r="J12" s="35">
        <v>5.0176760000000001E-2</v>
      </c>
      <c r="K12" s="35">
        <v>0.34318664999999998</v>
      </c>
      <c r="L12" s="35">
        <v>0.32813119999999996</v>
      </c>
      <c r="M12" s="30">
        <v>260</v>
      </c>
      <c r="N12" s="31">
        <v>2</v>
      </c>
      <c r="O12" s="32">
        <v>24000</v>
      </c>
      <c r="P12" s="30">
        <v>176.46448811736997</v>
      </c>
      <c r="Q12" s="35">
        <v>0.18674499904647832</v>
      </c>
      <c r="R12" s="34">
        <v>0.11666194059203211</v>
      </c>
      <c r="S12" s="35">
        <v>0.19009630433440511</v>
      </c>
      <c r="T12" s="35">
        <v>0.24233641180899945</v>
      </c>
      <c r="U12" s="35">
        <v>0.26826018227381854</v>
      </c>
      <c r="V12" s="35">
        <v>3.8393053247589015E-2</v>
      </c>
      <c r="W12" s="35">
        <v>0.14425210774315553</v>
      </c>
      <c r="X12" s="34">
        <f t="shared" si="0"/>
        <v>0.30675824492643722</v>
      </c>
      <c r="Y12" s="34">
        <v>9.0108710201305842E-2</v>
      </c>
      <c r="Z12" s="35">
        <v>4.3491109570118952E-2</v>
      </c>
      <c r="AA12" s="35">
        <v>3.7549566451587579E-2</v>
      </c>
      <c r="AB12" s="35">
        <v>2.4321833343973642E-2</v>
      </c>
      <c r="AC12" s="35">
        <v>1.6915569412787396E-2</v>
      </c>
      <c r="AD12" s="35">
        <v>1.2500242605244124E-2</v>
      </c>
      <c r="AE12" s="35">
        <v>9.2821182469619325E-3</v>
      </c>
      <c r="AF12" s="35">
        <v>8.1672619770199652E-3</v>
      </c>
      <c r="AG12" s="34">
        <v>3.0550730771201125E-2</v>
      </c>
      <c r="AH12" s="35">
        <v>0.12096883516984366</v>
      </c>
      <c r="AI12" s="35">
        <v>6.0686534176953515E-2</v>
      </c>
      <c r="AJ12" s="35">
        <v>3.3950726140455009E-2</v>
      </c>
      <c r="AK12" s="35">
        <v>1.314201171386559E-2</v>
      </c>
      <c r="AL12" s="35">
        <v>5.6625733834357794E-3</v>
      </c>
      <c r="AM12" s="35">
        <v>3.2987709180638805E-3</v>
      </c>
      <c r="AN12" s="34">
        <v>7.5812557645667467E-2</v>
      </c>
      <c r="AO12" s="35">
        <v>4.4541789566033677E-2</v>
      </c>
      <c r="AP12" s="35">
        <v>1.6824443301755483E-2</v>
      </c>
      <c r="AQ12" s="62">
        <v>7.0733172296989014E-3</v>
      </c>
    </row>
    <row r="13" spans="1:43" x14ac:dyDescent="0.25">
      <c r="A13" s="10"/>
      <c r="B13" s="10">
        <v>5</v>
      </c>
      <c r="C13" s="28">
        <v>0.14199999999999999</v>
      </c>
      <c r="D13" s="29">
        <v>7.1999999999999995E-2</v>
      </c>
      <c r="E13" s="29">
        <v>0.17100000000000001</v>
      </c>
      <c r="F13" s="29">
        <v>0.61499999999999999</v>
      </c>
      <c r="G13" s="33">
        <v>319.26400000000001</v>
      </c>
      <c r="H13" s="105" t="s">
        <v>10</v>
      </c>
      <c r="I13" s="34">
        <v>0.14581465000000002</v>
      </c>
      <c r="J13" s="35">
        <v>7.4316735000000009E-2</v>
      </c>
      <c r="K13" s="35">
        <v>0.183033</v>
      </c>
      <c r="L13" s="35">
        <v>0.59683570000000008</v>
      </c>
      <c r="M13" s="30">
        <v>260</v>
      </c>
      <c r="N13" s="31">
        <v>2</v>
      </c>
      <c r="O13" s="32">
        <v>24000</v>
      </c>
      <c r="P13" s="30">
        <v>315.50187461107691</v>
      </c>
      <c r="Q13" s="35">
        <v>0.28375493711452915</v>
      </c>
      <c r="R13" s="34">
        <v>0.15139623734836744</v>
      </c>
      <c r="S13" s="35">
        <v>0.22435144394694037</v>
      </c>
      <c r="T13" s="35">
        <v>0.28406358821378275</v>
      </c>
      <c r="U13" s="35">
        <v>0.13182905527941302</v>
      </c>
      <c r="V13" s="35">
        <v>6.4628340329997924E-2</v>
      </c>
      <c r="W13" s="35">
        <v>0.14373133488149881</v>
      </c>
      <c r="X13" s="34">
        <f t="shared" si="0"/>
        <v>0.37574768129530778</v>
      </c>
      <c r="Y13" s="34">
        <v>0.11284301506275363</v>
      </c>
      <c r="Z13" s="35">
        <v>6.2865865575915503E-2</v>
      </c>
      <c r="AA13" s="35">
        <v>4.011561133380049E-2</v>
      </c>
      <c r="AB13" s="35">
        <v>2.4258728541980086E-2</v>
      </c>
      <c r="AC13" s="35">
        <v>1.5552199299599558E-2</v>
      </c>
      <c r="AD13" s="35">
        <v>1.1623397952480297E-2</v>
      </c>
      <c r="AE13" s="35">
        <v>7.8246581204660555E-3</v>
      </c>
      <c r="AF13" s="35">
        <v>8.9801123267871097E-3</v>
      </c>
      <c r="AG13" s="34">
        <v>9.8827177529094267E-3</v>
      </c>
      <c r="AH13" s="35">
        <v>6.7050205926500711E-2</v>
      </c>
      <c r="AI13" s="35">
        <v>2.9275951029296379E-2</v>
      </c>
      <c r="AJ13" s="35">
        <v>1.6377031671894197E-2</v>
      </c>
      <c r="AK13" s="35">
        <v>5.9863383351738773E-3</v>
      </c>
      <c r="AL13" s="35">
        <v>2.2296636584066372E-3</v>
      </c>
      <c r="AM13" s="35">
        <v>1.027146905231814E-3</v>
      </c>
      <c r="AN13" s="34">
        <v>8.4355582353563024E-2</v>
      </c>
      <c r="AO13" s="35">
        <v>3.9306277320243305E-2</v>
      </c>
      <c r="AP13" s="35">
        <v>1.2998414959385814E-2</v>
      </c>
      <c r="AQ13" s="62">
        <v>7.0710602483066891E-3</v>
      </c>
    </row>
    <row r="14" spans="1:43" x14ac:dyDescent="0.25">
      <c r="A14" s="10"/>
      <c r="B14" s="15">
        <v>6</v>
      </c>
      <c r="C14" s="40">
        <v>7.8E-2</v>
      </c>
      <c r="D14" s="41">
        <v>9.9000000000000005E-2</v>
      </c>
      <c r="E14" s="41">
        <v>0.20100000000000001</v>
      </c>
      <c r="F14" s="41">
        <v>0.622</v>
      </c>
      <c r="G14" s="45">
        <v>299.97800000000001</v>
      </c>
      <c r="H14" s="106"/>
      <c r="I14" s="46">
        <v>8.1680375E-2</v>
      </c>
      <c r="J14" s="47">
        <v>9.9045754999999999E-2</v>
      </c>
      <c r="K14" s="47">
        <v>0.2141827</v>
      </c>
      <c r="L14" s="47">
        <v>0.60509119999999994</v>
      </c>
      <c r="M14" s="42">
        <v>260</v>
      </c>
      <c r="N14" s="43">
        <v>2</v>
      </c>
      <c r="O14" s="44">
        <v>24000</v>
      </c>
      <c r="P14" s="42">
        <v>341.96803783690348</v>
      </c>
      <c r="Q14" s="47">
        <v>0.32758462317538717</v>
      </c>
      <c r="R14" s="46">
        <v>0.13047095639035799</v>
      </c>
      <c r="S14" s="47">
        <v>0.22915676253214523</v>
      </c>
      <c r="T14" s="47">
        <v>0.30101120605120651</v>
      </c>
      <c r="U14" s="47">
        <v>0.13192943653483225</v>
      </c>
      <c r="V14" s="47">
        <v>6.531543772920137E-2</v>
      </c>
      <c r="W14" s="47">
        <v>0.14211620076225637</v>
      </c>
      <c r="X14" s="46">
        <f t="shared" si="0"/>
        <v>0.35962771892250323</v>
      </c>
      <c r="Y14" s="46">
        <v>0.12227902183877482</v>
      </c>
      <c r="Z14" s="47">
        <v>6.8897269091799634E-2</v>
      </c>
      <c r="AA14" s="47">
        <v>4.1703364296764162E-2</v>
      </c>
      <c r="AB14" s="47">
        <v>2.4748226667357875E-2</v>
      </c>
      <c r="AC14" s="47">
        <v>1.5519923478849033E-2</v>
      </c>
      <c r="AD14" s="47">
        <v>1.1481905096697477E-2</v>
      </c>
      <c r="AE14" s="47">
        <v>7.5541971906259676E-3</v>
      </c>
      <c r="AF14" s="47">
        <v>8.8272983903376085E-3</v>
      </c>
      <c r="AG14" s="46">
        <v>9.2841226638841062E-3</v>
      </c>
      <c r="AH14" s="47">
        <v>6.8258964155341342E-2</v>
      </c>
      <c r="AI14" s="47">
        <v>2.9220652322233635E-2</v>
      </c>
      <c r="AJ14" s="47">
        <v>1.6175163245161727E-2</v>
      </c>
      <c r="AK14" s="47">
        <v>5.9741663658241032E-3</v>
      </c>
      <c r="AL14" s="47">
        <v>2.095541601862462E-3</v>
      </c>
      <c r="AM14" s="47">
        <v>9.2082618052486006E-4</v>
      </c>
      <c r="AN14" s="46">
        <v>8.1882805882099619E-2</v>
      </c>
      <c r="AO14" s="47">
        <v>4.0535022266460982E-2</v>
      </c>
      <c r="AP14" s="47">
        <v>1.2805021413322074E-2</v>
      </c>
      <c r="AQ14" s="63">
        <v>6.8933512003736888E-3</v>
      </c>
    </row>
    <row r="15" spans="1:43" x14ac:dyDescent="0.25">
      <c r="A15" s="54" t="s">
        <v>14</v>
      </c>
      <c r="B15" s="52">
        <v>1</v>
      </c>
      <c r="C15" s="28">
        <v>0.85</v>
      </c>
      <c r="D15" s="29">
        <v>0.05</v>
      </c>
      <c r="E15" s="29">
        <v>0.05</v>
      </c>
      <c r="F15" s="29">
        <v>0.05</v>
      </c>
      <c r="G15" s="33">
        <v>164.36500000000001</v>
      </c>
      <c r="H15" s="103" t="s">
        <v>18</v>
      </c>
      <c r="I15" s="34">
        <v>0.84603630000000007</v>
      </c>
      <c r="J15" s="35">
        <v>5.5992014999999992E-2</v>
      </c>
      <c r="K15" s="35">
        <v>4.9508950000000003E-2</v>
      </c>
      <c r="L15" s="35">
        <v>4.8462724999999998E-2</v>
      </c>
      <c r="M15" s="30">
        <v>260</v>
      </c>
      <c r="N15" s="31">
        <v>2</v>
      </c>
      <c r="O15" s="32">
        <v>24000</v>
      </c>
      <c r="P15" s="30">
        <v>13.55261567800404</v>
      </c>
      <c r="Q15" s="35">
        <v>1.0281965296815515E-2</v>
      </c>
      <c r="R15" s="34">
        <v>0.12480480110372627</v>
      </c>
      <c r="S15" s="35">
        <v>0.38612074564621651</v>
      </c>
      <c r="T15" s="35">
        <v>0.11046428892429873</v>
      </c>
      <c r="U15" s="35">
        <v>0.25858934506258108</v>
      </c>
      <c r="V15" s="35">
        <v>4.6059046639184267E-2</v>
      </c>
      <c r="W15" s="35">
        <v>7.3961772623995586E-2</v>
      </c>
      <c r="X15" s="34">
        <f t="shared" si="0"/>
        <v>0.51092554674994273</v>
      </c>
      <c r="Y15" s="34">
        <v>2.1098610755749161E-2</v>
      </c>
      <c r="Z15" s="35">
        <v>1.5947194481352844E-2</v>
      </c>
      <c r="AA15" s="35">
        <v>1.8679234445078879E-2</v>
      </c>
      <c r="AB15" s="35">
        <v>1.4901684624411209E-2</v>
      </c>
      <c r="AC15" s="35">
        <v>1.2718188585155055E-2</v>
      </c>
      <c r="AD15" s="35">
        <v>1.3295283361125749E-2</v>
      </c>
      <c r="AE15" s="35">
        <v>4.8671756374883803E-3</v>
      </c>
      <c r="AF15" s="35">
        <v>8.956917033937464E-3</v>
      </c>
      <c r="AG15" s="34">
        <v>5.270436753059729E-2</v>
      </c>
      <c r="AH15" s="35">
        <v>7.581041783787601E-2</v>
      </c>
      <c r="AI15" s="35">
        <v>4.7053772000830968E-2</v>
      </c>
      <c r="AJ15" s="35">
        <v>3.6385893184092473E-2</v>
      </c>
      <c r="AK15" s="35">
        <v>1.9905973033670386E-2</v>
      </c>
      <c r="AL15" s="35">
        <v>1.2561196634797607E-2</v>
      </c>
      <c r="AM15" s="35">
        <v>1.4167724840716354E-2</v>
      </c>
      <c r="AN15" s="34">
        <v>6.2377787742505172E-2</v>
      </c>
      <c r="AO15" s="35">
        <v>1.1583984881490412E-2</v>
      </c>
      <c r="AP15" s="35">
        <v>0</v>
      </c>
      <c r="AQ15" s="62">
        <v>0</v>
      </c>
    </row>
    <row r="16" spans="1:43" x14ac:dyDescent="0.25">
      <c r="A16" s="10"/>
      <c r="B16" s="10">
        <v>2</v>
      </c>
      <c r="C16" s="28">
        <v>0.52400000000000002</v>
      </c>
      <c r="D16" s="29">
        <v>0.376</v>
      </c>
      <c r="E16" s="29">
        <v>0.05</v>
      </c>
      <c r="F16" s="29">
        <v>0.05</v>
      </c>
      <c r="G16" s="33">
        <v>91.132000000000005</v>
      </c>
      <c r="H16" s="104"/>
      <c r="I16" s="34">
        <v>0.49922044999999998</v>
      </c>
      <c r="J16" s="35">
        <v>0.39418959999999997</v>
      </c>
      <c r="K16" s="35">
        <v>5.4587669999999998E-2</v>
      </c>
      <c r="L16" s="35">
        <v>5.2002304999999999E-2</v>
      </c>
      <c r="M16" s="30">
        <v>260</v>
      </c>
      <c r="N16" s="31">
        <v>2</v>
      </c>
      <c r="O16" s="32">
        <v>24000</v>
      </c>
      <c r="P16" s="30">
        <v>18.942365959237037</v>
      </c>
      <c r="Q16" s="35">
        <v>2.5030355556157194E-2</v>
      </c>
      <c r="R16" s="34">
        <v>8.5119944528434174E-2</v>
      </c>
      <c r="S16" s="35">
        <v>0.34090711683567554</v>
      </c>
      <c r="T16" s="35">
        <v>0.18955985644286139</v>
      </c>
      <c r="U16" s="35">
        <v>0.24464133516382736</v>
      </c>
      <c r="V16" s="35">
        <v>7.2588160215315389E-2</v>
      </c>
      <c r="W16" s="35">
        <v>6.7183586813880994E-2</v>
      </c>
      <c r="X16" s="34">
        <f t="shared" si="0"/>
        <v>0.42602706136410973</v>
      </c>
      <c r="Y16" s="34">
        <v>4.942592284557594E-2</v>
      </c>
      <c r="Z16" s="35">
        <v>3.3068093225275021E-2</v>
      </c>
      <c r="AA16" s="35">
        <v>2.894892483634065E-2</v>
      </c>
      <c r="AB16" s="35">
        <v>1.9996733386769733E-2</v>
      </c>
      <c r="AC16" s="35">
        <v>1.5295816871037291E-2</v>
      </c>
      <c r="AD16" s="35">
        <v>1.4811401145606218E-2</v>
      </c>
      <c r="AE16" s="35">
        <v>1.2713670643585435E-2</v>
      </c>
      <c r="AF16" s="35">
        <v>1.5299293488671067E-2</v>
      </c>
      <c r="AG16" s="34">
        <v>4.5084955964571252E-2</v>
      </c>
      <c r="AH16" s="35">
        <v>9.1066728334203942E-2</v>
      </c>
      <c r="AI16" s="35">
        <v>5.047058172798316E-2</v>
      </c>
      <c r="AJ16" s="35">
        <v>3.3410629666284525E-2</v>
      </c>
      <c r="AK16" s="35">
        <v>1.6341760784406904E-2</v>
      </c>
      <c r="AL16" s="35">
        <v>8.266678686377562E-3</v>
      </c>
      <c r="AM16" s="35">
        <v>0</v>
      </c>
      <c r="AN16" s="34">
        <v>4.9148436129038658E-2</v>
      </c>
      <c r="AO16" s="35">
        <v>1.8035150684842335E-2</v>
      </c>
      <c r="AP16" s="35">
        <v>0</v>
      </c>
      <c r="AQ16" s="62">
        <v>0</v>
      </c>
    </row>
    <row r="17" spans="1:43" x14ac:dyDescent="0.25">
      <c r="A17" s="10"/>
      <c r="B17" s="10">
        <v>3</v>
      </c>
      <c r="C17" s="28">
        <v>0.53100000000000003</v>
      </c>
      <c r="D17" s="29">
        <v>0.05</v>
      </c>
      <c r="E17" s="29">
        <v>0.36899999999999999</v>
      </c>
      <c r="F17" s="29">
        <v>0.05</v>
      </c>
      <c r="G17" s="33">
        <v>105.304</v>
      </c>
      <c r="H17" s="104"/>
      <c r="I17" s="34">
        <v>0.51380534999999994</v>
      </c>
      <c r="J17" s="35">
        <v>5.0839964999999994E-2</v>
      </c>
      <c r="K17" s="35">
        <v>0.38292725000000005</v>
      </c>
      <c r="L17" s="35">
        <v>5.2427460000000002E-2</v>
      </c>
      <c r="M17" s="30">
        <v>260</v>
      </c>
      <c r="N17" s="31">
        <v>2</v>
      </c>
      <c r="O17" s="32">
        <v>24000</v>
      </c>
      <c r="P17" s="30">
        <v>104.60860101807447</v>
      </c>
      <c r="Q17" s="35">
        <v>0.13270820139984504</v>
      </c>
      <c r="R17" s="34">
        <v>5.7173843888271111E-2</v>
      </c>
      <c r="S17" s="35">
        <v>0.31611528537402317</v>
      </c>
      <c r="T17" s="35">
        <v>0.28461743646964155</v>
      </c>
      <c r="U17" s="35">
        <v>0.18783729768558688</v>
      </c>
      <c r="V17" s="35">
        <v>3.8320862351013986E-2</v>
      </c>
      <c r="W17" s="35">
        <v>0.11593527423146303</v>
      </c>
      <c r="X17" s="34">
        <f t="shared" si="0"/>
        <v>0.37328912926229429</v>
      </c>
      <c r="Y17" s="34">
        <v>0.12200263690522641</v>
      </c>
      <c r="Z17" s="35">
        <v>5.7858545146786955E-2</v>
      </c>
      <c r="AA17" s="35">
        <v>3.9004623765844543E-2</v>
      </c>
      <c r="AB17" s="35">
        <v>2.3544585170948346E-2</v>
      </c>
      <c r="AC17" s="35">
        <v>1.5759655139502879E-2</v>
      </c>
      <c r="AD17" s="35">
        <v>1.1880251110539216E-2</v>
      </c>
      <c r="AE17" s="35">
        <v>8.3865153447007547E-3</v>
      </c>
      <c r="AF17" s="35">
        <v>6.1806238860924786E-3</v>
      </c>
      <c r="AG17" s="34">
        <v>1.7290057846672754E-2</v>
      </c>
      <c r="AH17" s="35">
        <v>9.1703179348507219E-2</v>
      </c>
      <c r="AI17" s="35">
        <v>4.0924019959839575E-2</v>
      </c>
      <c r="AJ17" s="35">
        <v>2.2797289467390972E-2</v>
      </c>
      <c r="AK17" s="35">
        <v>8.9277397639217181E-3</v>
      </c>
      <c r="AL17" s="35">
        <v>4.3835991689078341E-3</v>
      </c>
      <c r="AM17" s="35">
        <v>1.8114121303468064E-3</v>
      </c>
      <c r="AN17" s="34">
        <v>8.1880176031022822E-2</v>
      </c>
      <c r="AO17" s="35">
        <v>3.4055098200440212E-2</v>
      </c>
      <c r="AP17" s="35">
        <v>0</v>
      </c>
      <c r="AQ17" s="62">
        <v>0</v>
      </c>
    </row>
    <row r="18" spans="1:43" x14ac:dyDescent="0.25">
      <c r="A18" s="10"/>
      <c r="B18" s="10">
        <v>4</v>
      </c>
      <c r="C18" s="28">
        <v>0.11</v>
      </c>
      <c r="D18" s="29">
        <v>0.05</v>
      </c>
      <c r="E18" s="29">
        <v>0.12</v>
      </c>
      <c r="F18" s="29">
        <v>0.72</v>
      </c>
      <c r="G18" s="33">
        <v>315.66000000000003</v>
      </c>
      <c r="H18" s="105" t="s">
        <v>10</v>
      </c>
      <c r="I18" s="34">
        <v>0.1077496</v>
      </c>
      <c r="J18" s="35">
        <v>5.5916199999999999E-2</v>
      </c>
      <c r="K18" s="35">
        <v>0.1289884</v>
      </c>
      <c r="L18" s="35">
        <v>0.70734575000000011</v>
      </c>
      <c r="M18" s="30">
        <v>260</v>
      </c>
      <c r="N18" s="31">
        <v>2</v>
      </c>
      <c r="O18" s="32">
        <v>24000</v>
      </c>
      <c r="P18" s="30">
        <v>340.58526217234368</v>
      </c>
      <c r="Q18" s="35">
        <v>0.36266429486664742</v>
      </c>
      <c r="R18" s="34">
        <v>0.16244349068326749</v>
      </c>
      <c r="S18" s="35">
        <v>0.24273846043019739</v>
      </c>
      <c r="T18" s="35">
        <v>0.27332249493634603</v>
      </c>
      <c r="U18" s="35">
        <v>0.11605471069395376</v>
      </c>
      <c r="V18" s="35">
        <v>7.535575999401016E-2</v>
      </c>
      <c r="W18" s="35">
        <v>0.13008508326222504</v>
      </c>
      <c r="X18" s="34">
        <f t="shared" si="0"/>
        <v>0.40518195111346489</v>
      </c>
      <c r="Y18" s="34">
        <v>0.11038860714810418</v>
      </c>
      <c r="Z18" s="35">
        <v>6.0456947931630332E-2</v>
      </c>
      <c r="AA18" s="35">
        <v>4.0321573298537527E-2</v>
      </c>
      <c r="AB18" s="35">
        <v>2.4423895862318617E-2</v>
      </c>
      <c r="AC18" s="35">
        <v>1.5230501435545366E-2</v>
      </c>
      <c r="AD18" s="35">
        <v>1.0100765076465507E-2</v>
      </c>
      <c r="AE18" s="35">
        <v>7.0307384376540371E-3</v>
      </c>
      <c r="AF18" s="35">
        <v>5.3694657460904337E-3</v>
      </c>
      <c r="AG18" s="34">
        <v>8.2065311096138609E-3</v>
      </c>
      <c r="AH18" s="35">
        <v>5.9458148924268046E-2</v>
      </c>
      <c r="AI18" s="35">
        <v>2.5007223332136896E-2</v>
      </c>
      <c r="AJ18" s="35">
        <v>1.5663408446427021E-2</v>
      </c>
      <c r="AK18" s="35">
        <v>5.1481091029331174E-3</v>
      </c>
      <c r="AL18" s="35">
        <v>1.5754300981082672E-3</v>
      </c>
      <c r="AM18" s="35">
        <v>9.9585968046656524E-4</v>
      </c>
      <c r="AN18" s="34">
        <v>7.9259207754893632E-2</v>
      </c>
      <c r="AO18" s="35">
        <v>3.4317892741332852E-2</v>
      </c>
      <c r="AP18" s="35">
        <v>1.2205013868920705E-2</v>
      </c>
      <c r="AQ18" s="62">
        <v>4.3029688970778563E-3</v>
      </c>
    </row>
    <row r="19" spans="1:43" x14ac:dyDescent="0.25">
      <c r="A19" s="10"/>
      <c r="B19" s="10">
        <v>5</v>
      </c>
      <c r="C19" s="28">
        <v>7.0000000000000007E-2</v>
      </c>
      <c r="D19" s="29">
        <v>0.05</v>
      </c>
      <c r="E19" s="29">
        <v>0.05</v>
      </c>
      <c r="F19" s="29">
        <v>0.83</v>
      </c>
      <c r="G19" s="33">
        <v>314.52</v>
      </c>
      <c r="H19" s="105"/>
      <c r="I19" s="34">
        <v>7.5389440000000002E-2</v>
      </c>
      <c r="J19" s="35">
        <v>5.7397515000000003E-2</v>
      </c>
      <c r="K19" s="35">
        <v>6.0553210000000003E-2</v>
      </c>
      <c r="L19" s="35">
        <v>0.80665979999999993</v>
      </c>
      <c r="M19" s="30">
        <v>260</v>
      </c>
      <c r="N19" s="31">
        <v>2</v>
      </c>
      <c r="O19" s="32">
        <v>24000</v>
      </c>
      <c r="P19" s="30">
        <v>343.28745730617783</v>
      </c>
      <c r="Q19" s="35">
        <v>0.4230440138558571</v>
      </c>
      <c r="R19" s="34">
        <v>0.19932853135304027</v>
      </c>
      <c r="S19" s="35">
        <v>0.20026082671806508</v>
      </c>
      <c r="T19" s="35">
        <v>0.28662895341124389</v>
      </c>
      <c r="U19" s="35">
        <v>0.14495717863721716</v>
      </c>
      <c r="V19" s="35">
        <v>5.6482082713148661E-2</v>
      </c>
      <c r="W19" s="35">
        <v>0.11234242716728474</v>
      </c>
      <c r="X19" s="34">
        <f t="shared" si="0"/>
        <v>0.39958935807110535</v>
      </c>
      <c r="Y19" s="34">
        <v>0.10223725793682399</v>
      </c>
      <c r="Z19" s="35">
        <v>5.9158813578320542E-2</v>
      </c>
      <c r="AA19" s="35">
        <v>4.3165876224278456E-2</v>
      </c>
      <c r="AB19" s="35">
        <v>2.9286064963749126E-2</v>
      </c>
      <c r="AC19" s="35">
        <v>1.9551424369886553E-2</v>
      </c>
      <c r="AD19" s="35">
        <v>1.495984465266966E-2</v>
      </c>
      <c r="AE19" s="35">
        <v>1.0731339385586569E-2</v>
      </c>
      <c r="AF19" s="35">
        <v>7.5383322999290278E-3</v>
      </c>
      <c r="AG19" s="34">
        <v>1.0455002352858936E-2</v>
      </c>
      <c r="AH19" s="35">
        <v>6.7309330246051402E-2</v>
      </c>
      <c r="AI19" s="35">
        <v>3.2890917661392925E-2</v>
      </c>
      <c r="AJ19" s="35">
        <v>2.0126376138396667E-2</v>
      </c>
      <c r="AK19" s="35">
        <v>8.2104225673458788E-3</v>
      </c>
      <c r="AL19" s="35">
        <v>3.9415688521524878E-3</v>
      </c>
      <c r="AM19" s="35">
        <v>2.0235608190188521E-3</v>
      </c>
      <c r="AN19" s="34">
        <v>7.2332130578220494E-2</v>
      </c>
      <c r="AO19" s="35">
        <v>3.0353224246834686E-2</v>
      </c>
      <c r="AP19" s="35">
        <v>9.2937610848855372E-3</v>
      </c>
      <c r="AQ19" s="62">
        <v>3.6331125734401172E-4</v>
      </c>
    </row>
    <row r="20" spans="1:43" x14ac:dyDescent="0.25">
      <c r="A20" s="15"/>
      <c r="B20" s="15">
        <v>6</v>
      </c>
      <c r="C20" s="40">
        <v>0.09</v>
      </c>
      <c r="D20" s="41">
        <v>0.11</v>
      </c>
      <c r="E20" s="41">
        <v>0.11</v>
      </c>
      <c r="F20" s="41">
        <v>0.69</v>
      </c>
      <c r="G20" s="45">
        <v>322.87</v>
      </c>
      <c r="H20" s="106"/>
      <c r="I20" s="46">
        <v>9.4251070000000006E-2</v>
      </c>
      <c r="J20" s="47">
        <v>0.10231284500000001</v>
      </c>
      <c r="K20" s="47">
        <v>0.11668064999999998</v>
      </c>
      <c r="L20" s="47">
        <v>0.68675549999999985</v>
      </c>
      <c r="M20" s="42">
        <v>260</v>
      </c>
      <c r="N20" s="43">
        <v>2</v>
      </c>
      <c r="O20" s="44">
        <v>24000</v>
      </c>
      <c r="P20" s="42">
        <v>387.62267229689274</v>
      </c>
      <c r="Q20" s="47">
        <v>0.44801942324850369</v>
      </c>
      <c r="R20" s="46">
        <v>0.19192169285832891</v>
      </c>
      <c r="S20" s="47">
        <v>0.22462407760731851</v>
      </c>
      <c r="T20" s="47">
        <v>0.27808821275115719</v>
      </c>
      <c r="U20" s="47">
        <v>0.11867692950071355</v>
      </c>
      <c r="V20" s="47">
        <v>6.4128567338278195E-2</v>
      </c>
      <c r="W20" s="47">
        <v>0.12256051994420344</v>
      </c>
      <c r="X20" s="46">
        <f t="shared" si="0"/>
        <v>0.41654577046564745</v>
      </c>
      <c r="Y20" s="46">
        <v>0.11063220073889607</v>
      </c>
      <c r="Z20" s="47">
        <v>6.1956750126243153E-2</v>
      </c>
      <c r="AA20" s="47">
        <v>4.0002130522683955E-2</v>
      </c>
      <c r="AB20" s="47">
        <v>2.4669465507573818E-2</v>
      </c>
      <c r="AC20" s="47">
        <v>1.5031291885295167E-2</v>
      </c>
      <c r="AD20" s="47">
        <v>1.0677652934815434E-2</v>
      </c>
      <c r="AE20" s="47">
        <v>7.1525990954689729E-3</v>
      </c>
      <c r="AF20" s="47">
        <v>7.966121940180643E-3</v>
      </c>
      <c r="AG20" s="46">
        <v>8.1260569884461006E-3</v>
      </c>
      <c r="AH20" s="47">
        <v>6.0820731822238516E-2</v>
      </c>
      <c r="AI20" s="47">
        <v>2.6168076795209771E-2</v>
      </c>
      <c r="AJ20" s="47">
        <v>1.46595696026062E-2</v>
      </c>
      <c r="AK20" s="47">
        <v>5.4419152275302579E-3</v>
      </c>
      <c r="AL20" s="47">
        <v>2.342415830807131E-3</v>
      </c>
      <c r="AM20" s="47">
        <v>1.1181632338755707E-3</v>
      </c>
      <c r="AN20" s="46">
        <v>7.8895527855381342E-2</v>
      </c>
      <c r="AO20" s="47">
        <v>3.3293964237261255E-2</v>
      </c>
      <c r="AP20" s="47">
        <v>9.7771880006411408E-3</v>
      </c>
      <c r="AQ20" s="63">
        <v>5.9383985091971227E-4</v>
      </c>
    </row>
    <row r="21" spans="1:43" x14ac:dyDescent="0.25">
      <c r="A21" s="27" t="s">
        <v>15</v>
      </c>
      <c r="B21" s="52">
        <v>1</v>
      </c>
      <c r="C21" s="28">
        <v>0.30399999999999999</v>
      </c>
      <c r="D21" s="29">
        <v>0.42799999999999999</v>
      </c>
      <c r="E21" s="29">
        <v>0.05</v>
      </c>
      <c r="F21" s="29">
        <v>0.218</v>
      </c>
      <c r="G21" s="33">
        <v>53.570999999999998</v>
      </c>
      <c r="H21" s="103" t="s">
        <v>18</v>
      </c>
      <c r="I21" s="34">
        <v>0.28283585</v>
      </c>
      <c r="J21" s="35">
        <v>0.43982640000000006</v>
      </c>
      <c r="K21" s="35">
        <v>5.6604694999999997E-2</v>
      </c>
      <c r="L21" s="35">
        <v>0.22073305000000001</v>
      </c>
      <c r="M21" s="30">
        <v>260</v>
      </c>
      <c r="N21" s="31">
        <v>2</v>
      </c>
      <c r="O21" s="32">
        <v>24000</v>
      </c>
      <c r="P21" s="30">
        <v>56.125403372240676</v>
      </c>
      <c r="Q21" s="35">
        <v>0.10080078097601131</v>
      </c>
      <c r="R21" s="34">
        <v>0.1344375933183645</v>
      </c>
      <c r="S21" s="35">
        <v>0.26311015611118882</v>
      </c>
      <c r="T21" s="35">
        <v>0.25577295477433515</v>
      </c>
      <c r="U21" s="35">
        <v>0.15289684484957647</v>
      </c>
      <c r="V21" s="35">
        <v>9.8058234066950078E-2</v>
      </c>
      <c r="W21" s="35">
        <v>9.5724216879584378E-2</v>
      </c>
      <c r="X21" s="34">
        <f t="shared" si="0"/>
        <v>0.39754774942955329</v>
      </c>
      <c r="Y21" s="34">
        <v>0.11020367476139259</v>
      </c>
      <c r="Z21" s="35">
        <v>5.2832602384804132E-2</v>
      </c>
      <c r="AA21" s="35">
        <v>3.3371678443677492E-2</v>
      </c>
      <c r="AB21" s="35">
        <v>2.1050786225811201E-2</v>
      </c>
      <c r="AC21" s="35">
        <v>1.4058499446139476E-2</v>
      </c>
      <c r="AD21" s="35">
        <v>1.0894829382520293E-2</v>
      </c>
      <c r="AE21" s="35">
        <v>7.4737995891382076E-3</v>
      </c>
      <c r="AF21" s="35">
        <v>5.8870845408517192E-3</v>
      </c>
      <c r="AG21" s="34">
        <v>1.7799269023080547E-2</v>
      </c>
      <c r="AH21" s="35">
        <v>7.806564215035583E-2</v>
      </c>
      <c r="AI21" s="35">
        <v>3.1902589294090442E-2</v>
      </c>
      <c r="AJ21" s="35">
        <v>1.6777224082767109E-2</v>
      </c>
      <c r="AK21" s="35">
        <v>5.8287751575151351E-3</v>
      </c>
      <c r="AL21" s="35">
        <v>2.5233451417673771E-3</v>
      </c>
      <c r="AM21" s="35">
        <v>0</v>
      </c>
      <c r="AN21" s="34">
        <v>6.8206762959194103E-2</v>
      </c>
      <c r="AO21" s="35">
        <v>1.4241944973728181E-2</v>
      </c>
      <c r="AP21" s="35">
        <v>9.2346663693760826E-3</v>
      </c>
      <c r="AQ21" s="62">
        <v>4.0408425772860074E-3</v>
      </c>
    </row>
    <row r="22" spans="1:43" x14ac:dyDescent="0.25">
      <c r="A22" s="10"/>
      <c r="B22" s="10">
        <v>2</v>
      </c>
      <c r="C22" s="28">
        <v>0.52700000000000002</v>
      </c>
      <c r="D22" s="29">
        <v>0.05</v>
      </c>
      <c r="E22" s="29">
        <v>0.05</v>
      </c>
      <c r="F22" s="29">
        <v>0.373</v>
      </c>
      <c r="G22" s="33">
        <v>78.771000000000001</v>
      </c>
      <c r="H22" s="104"/>
      <c r="I22" s="34">
        <v>0.53136729999999999</v>
      </c>
      <c r="J22" s="35">
        <v>5.1249715000000001E-2</v>
      </c>
      <c r="K22" s="35">
        <v>5.6565455000000001E-2</v>
      </c>
      <c r="L22" s="35">
        <v>0.36081754999999999</v>
      </c>
      <c r="M22" s="30">
        <v>260</v>
      </c>
      <c r="N22" s="31">
        <v>2</v>
      </c>
      <c r="O22" s="32">
        <v>24000</v>
      </c>
      <c r="P22" s="30">
        <v>60.263458844050774</v>
      </c>
      <c r="Q22" s="35">
        <v>5.7938399890287769E-2</v>
      </c>
      <c r="R22" s="34">
        <v>6.2488533784200377E-2</v>
      </c>
      <c r="S22" s="35">
        <v>0.29820434081819364</v>
      </c>
      <c r="T22" s="35">
        <v>0.20203871839829404</v>
      </c>
      <c r="U22" s="35">
        <v>0.23741723079784871</v>
      </c>
      <c r="V22" s="35">
        <v>6.8773364288802152E-2</v>
      </c>
      <c r="W22" s="35">
        <v>0.1310778119126591</v>
      </c>
      <c r="X22" s="34">
        <f t="shared" si="0"/>
        <v>0.36069287460239402</v>
      </c>
      <c r="Y22" s="34">
        <v>8.2732990520336766E-2</v>
      </c>
      <c r="Z22" s="35">
        <v>3.4404408479631415E-2</v>
      </c>
      <c r="AA22" s="35">
        <v>2.6516075058461642E-2</v>
      </c>
      <c r="AB22" s="35">
        <v>1.7880712781312497E-2</v>
      </c>
      <c r="AC22" s="35">
        <v>1.2393235612941219E-2</v>
      </c>
      <c r="AD22" s="35">
        <v>1.0871661898241422E-2</v>
      </c>
      <c r="AE22" s="35">
        <v>9.5634578123632071E-3</v>
      </c>
      <c r="AF22" s="35">
        <v>7.6761762350058436E-3</v>
      </c>
      <c r="AG22" s="34">
        <v>4.1040449559966836E-2</v>
      </c>
      <c r="AH22" s="35">
        <v>9.4420330260117299E-2</v>
      </c>
      <c r="AI22" s="35">
        <v>4.9508231877111085E-2</v>
      </c>
      <c r="AJ22" s="35">
        <v>3.1819996026331655E-2</v>
      </c>
      <c r="AK22" s="35">
        <v>8.6977197448882531E-3</v>
      </c>
      <c r="AL22" s="35">
        <v>6.4719815968502376E-3</v>
      </c>
      <c r="AM22" s="35">
        <v>5.4585217325833213E-3</v>
      </c>
      <c r="AN22" s="34">
        <v>8.739657210440549E-2</v>
      </c>
      <c r="AO22" s="35">
        <v>3.4849310300841256E-2</v>
      </c>
      <c r="AP22" s="35">
        <v>8.8319295074123384E-3</v>
      </c>
      <c r="AQ22" s="62">
        <v>0</v>
      </c>
    </row>
    <row r="23" spans="1:43" x14ac:dyDescent="0.25">
      <c r="A23" s="10"/>
      <c r="B23" s="10">
        <v>3</v>
      </c>
      <c r="C23" s="28">
        <v>0.11</v>
      </c>
      <c r="D23" s="29">
        <v>0.16200000000000001</v>
      </c>
      <c r="E23" s="29">
        <v>0.14799999999999999</v>
      </c>
      <c r="F23" s="29">
        <v>0.57999999999999996</v>
      </c>
      <c r="G23" s="33">
        <v>335.25</v>
      </c>
      <c r="H23" s="105" t="s">
        <v>10</v>
      </c>
      <c r="I23" s="34">
        <v>0.10739944999999999</v>
      </c>
      <c r="J23" s="35">
        <v>0.16918714999999998</v>
      </c>
      <c r="K23" s="35">
        <v>0.1567192</v>
      </c>
      <c r="L23" s="35">
        <v>0.56669420000000004</v>
      </c>
      <c r="M23" s="30">
        <v>260</v>
      </c>
      <c r="N23" s="31">
        <v>2</v>
      </c>
      <c r="O23" s="32">
        <v>24000</v>
      </c>
      <c r="P23" s="30">
        <v>261.24575751671398</v>
      </c>
      <c r="Q23" s="35">
        <v>0.30272206316311612</v>
      </c>
      <c r="R23" s="34">
        <v>0.14914725387071759</v>
      </c>
      <c r="S23" s="35">
        <v>0.24186073505455261</v>
      </c>
      <c r="T23" s="35">
        <v>0.29758572537113931</v>
      </c>
      <c r="U23" s="35">
        <v>0.12093124550711173</v>
      </c>
      <c r="V23" s="35">
        <v>6.7114044721769031E-2</v>
      </c>
      <c r="W23" s="35">
        <v>0.12336099547470966</v>
      </c>
      <c r="X23" s="34">
        <f t="shared" si="0"/>
        <v>0.39100798892527022</v>
      </c>
      <c r="Y23" s="34">
        <v>0.11838553512159322</v>
      </c>
      <c r="Z23" s="35">
        <v>6.7760124910516986E-2</v>
      </c>
      <c r="AA23" s="35">
        <v>4.288927439022628E-2</v>
      </c>
      <c r="AB23" s="35">
        <v>2.6345445476540805E-2</v>
      </c>
      <c r="AC23" s="35">
        <v>1.6094370080875477E-2</v>
      </c>
      <c r="AD23" s="35">
        <v>1.1212318651312038E-2</v>
      </c>
      <c r="AE23" s="35">
        <v>7.9337638676917968E-3</v>
      </c>
      <c r="AF23" s="35">
        <v>6.9648928723826803E-3</v>
      </c>
      <c r="AG23" s="34">
        <v>8.4565449532147691E-3</v>
      </c>
      <c r="AH23" s="35">
        <v>6.2599811011738157E-2</v>
      </c>
      <c r="AI23" s="35">
        <v>2.6266223860800849E-2</v>
      </c>
      <c r="AJ23" s="35">
        <v>1.4922843091361349E-2</v>
      </c>
      <c r="AK23" s="35">
        <v>5.6538696793654057E-3</v>
      </c>
      <c r="AL23" s="35">
        <v>1.8277381561466993E-3</v>
      </c>
      <c r="AM23" s="35">
        <v>1.2042147544844984E-3</v>
      </c>
      <c r="AN23" s="34">
        <v>7.4496503176450901E-2</v>
      </c>
      <c r="AO23" s="35">
        <v>3.369567283226494E-2</v>
      </c>
      <c r="AP23" s="35">
        <v>1.0452974628491825E-2</v>
      </c>
      <c r="AQ23" s="62">
        <v>4.7158448375020151E-3</v>
      </c>
    </row>
    <row r="24" spans="1:43" x14ac:dyDescent="0.25">
      <c r="A24" s="10"/>
      <c r="B24" s="10">
        <v>4</v>
      </c>
      <c r="C24" s="28">
        <v>0.112</v>
      </c>
      <c r="D24" s="29">
        <v>0.05</v>
      </c>
      <c r="E24" s="29">
        <v>0.17399999999999999</v>
      </c>
      <c r="F24" s="29">
        <v>0.66400000000000003</v>
      </c>
      <c r="G24" s="33">
        <v>331.65899999999999</v>
      </c>
      <c r="H24" s="105"/>
      <c r="I24" s="34">
        <v>0.10987230000000001</v>
      </c>
      <c r="J24" s="35">
        <v>4.9332895000000002E-2</v>
      </c>
      <c r="K24" s="35">
        <v>0.18943979999999999</v>
      </c>
      <c r="L24" s="35">
        <v>0.6513549500000001</v>
      </c>
      <c r="M24" s="30">
        <v>260</v>
      </c>
      <c r="N24" s="31">
        <v>2</v>
      </c>
      <c r="O24" s="32">
        <v>24000</v>
      </c>
      <c r="P24" s="30">
        <v>299.88828539152462</v>
      </c>
      <c r="Q24" s="35">
        <v>0.32418321849449855</v>
      </c>
      <c r="R24" s="34">
        <v>0.16265936504156261</v>
      </c>
      <c r="S24" s="35">
        <v>0.23055429907051428</v>
      </c>
      <c r="T24" s="35">
        <v>0.28938047558120567</v>
      </c>
      <c r="U24" s="35">
        <v>0.12526956367780354</v>
      </c>
      <c r="V24" s="35">
        <v>6.3172121395798822E-2</v>
      </c>
      <c r="W24" s="35">
        <v>0.12896417523311485</v>
      </c>
      <c r="X24" s="34">
        <f t="shared" si="0"/>
        <v>0.39321366411207692</v>
      </c>
      <c r="Y24" s="34">
        <v>0.11437490926279743</v>
      </c>
      <c r="Z24" s="35">
        <v>6.4261296723720204E-2</v>
      </c>
      <c r="AA24" s="35">
        <v>4.0921717361230216E-2</v>
      </c>
      <c r="AB24" s="35">
        <v>2.4985746601563417E-2</v>
      </c>
      <c r="AC24" s="35">
        <v>1.5716939695468262E-2</v>
      </c>
      <c r="AD24" s="35">
        <v>1.1391270147144241E-2</v>
      </c>
      <c r="AE24" s="35">
        <v>7.7457614786292095E-3</v>
      </c>
      <c r="AF24" s="35">
        <v>9.9828343106526662E-3</v>
      </c>
      <c r="AG24" s="34">
        <v>8.7460542700837744E-3</v>
      </c>
      <c r="AH24" s="35">
        <v>6.501226679631221E-2</v>
      </c>
      <c r="AI24" s="35">
        <v>2.7903976600996666E-2</v>
      </c>
      <c r="AJ24" s="35">
        <v>1.5082643103638771E-2</v>
      </c>
      <c r="AK24" s="35">
        <v>5.4734781753448328E-3</v>
      </c>
      <c r="AL24" s="35">
        <v>2.0540341391745306E-3</v>
      </c>
      <c r="AM24" s="35">
        <v>9.9711059225274343E-4</v>
      </c>
      <c r="AN24" s="34">
        <v>8.0640978368402977E-2</v>
      </c>
      <c r="AO24" s="35">
        <v>3.5752832848088216E-2</v>
      </c>
      <c r="AP24" s="35">
        <v>6.0819935163953405E-3</v>
      </c>
      <c r="AQ24" s="62">
        <v>6.4883705002283104E-3</v>
      </c>
    </row>
    <row r="25" spans="1:43" x14ac:dyDescent="0.25">
      <c r="A25" s="10"/>
      <c r="B25" s="10">
        <v>5</v>
      </c>
      <c r="C25" s="28">
        <v>8.7999999999999995E-2</v>
      </c>
      <c r="D25" s="29">
        <v>8.7999999999999995E-2</v>
      </c>
      <c r="E25" s="29">
        <v>0.05</v>
      </c>
      <c r="F25" s="29">
        <v>0.77500000000000002</v>
      </c>
      <c r="G25" s="33">
        <v>357.53500000000003</v>
      </c>
      <c r="H25" s="105"/>
      <c r="I25" s="34">
        <v>8.5497320000000002E-2</v>
      </c>
      <c r="J25" s="35">
        <v>8.5033004999999995E-2</v>
      </c>
      <c r="K25" s="35">
        <v>6.2957125000000003E-2</v>
      </c>
      <c r="L25" s="35">
        <v>0.7665126000000001</v>
      </c>
      <c r="M25" s="30">
        <v>260</v>
      </c>
      <c r="N25" s="31">
        <v>2</v>
      </c>
      <c r="O25" s="32">
        <v>24000</v>
      </c>
      <c r="P25" s="30">
        <v>340.73137901634163</v>
      </c>
      <c r="Q25" s="35">
        <v>0.45514350243377799</v>
      </c>
      <c r="R25" s="34">
        <v>0.22751537566541477</v>
      </c>
      <c r="S25" s="35">
        <v>0.19628431551826553</v>
      </c>
      <c r="T25" s="35">
        <v>0.29392533401833826</v>
      </c>
      <c r="U25" s="35">
        <v>0.12669181881533556</v>
      </c>
      <c r="V25" s="35">
        <v>5.0178600715208778E-2</v>
      </c>
      <c r="W25" s="35">
        <v>0.10540455526743679</v>
      </c>
      <c r="X25" s="34">
        <f t="shared" si="0"/>
        <v>0.42379969118368033</v>
      </c>
      <c r="Y25" s="34">
        <v>0.10334818935447428</v>
      </c>
      <c r="Z25" s="35">
        <v>6.2621848269983252E-2</v>
      </c>
      <c r="AA25" s="35">
        <v>4.5886923588901264E-2</v>
      </c>
      <c r="AB25" s="35">
        <v>3.0763043309494458E-2</v>
      </c>
      <c r="AC25" s="35">
        <v>1.9234406249706685E-2</v>
      </c>
      <c r="AD25" s="35">
        <v>1.4168357828990778E-2</v>
      </c>
      <c r="AE25" s="35">
        <v>9.7690945313540205E-3</v>
      </c>
      <c r="AF25" s="35">
        <v>8.1334708854335844E-3</v>
      </c>
      <c r="AG25" s="34">
        <v>8.1337569622213363E-3</v>
      </c>
      <c r="AH25" s="35">
        <v>6.1860510637978643E-2</v>
      </c>
      <c r="AI25" s="35">
        <v>2.7890208392960858E-2</v>
      </c>
      <c r="AJ25" s="35">
        <v>1.8060614332875244E-2</v>
      </c>
      <c r="AK25" s="35">
        <v>6.5459320716081864E-3</v>
      </c>
      <c r="AL25" s="35">
        <v>2.6780975403619539E-3</v>
      </c>
      <c r="AM25" s="35">
        <v>1.5226988773293282E-3</v>
      </c>
      <c r="AN25" s="34">
        <v>6.2236805492493878E-2</v>
      </c>
      <c r="AO25" s="35">
        <v>2.795867950279397E-2</v>
      </c>
      <c r="AP25" s="35">
        <v>1.0342242154505207E-2</v>
      </c>
      <c r="AQ25" s="62">
        <v>4.8668281176437447E-3</v>
      </c>
    </row>
    <row r="26" spans="1:43" x14ac:dyDescent="0.25">
      <c r="A26" s="10"/>
      <c r="B26" s="15">
        <v>6</v>
      </c>
      <c r="C26" s="40">
        <v>9.1999999999999998E-2</v>
      </c>
      <c r="D26" s="41">
        <v>0.115</v>
      </c>
      <c r="E26" s="41">
        <v>7.2999999999999995E-2</v>
      </c>
      <c r="F26" s="41">
        <v>0.71899999999999997</v>
      </c>
      <c r="G26" s="45">
        <v>364.31599999999997</v>
      </c>
      <c r="H26" s="106"/>
      <c r="I26" s="46">
        <v>8.9706915000000012E-2</v>
      </c>
      <c r="J26" s="47">
        <v>0.11350495000000001</v>
      </c>
      <c r="K26" s="47">
        <v>8.6468279999999995E-2</v>
      </c>
      <c r="L26" s="47">
        <v>0.71031984999999986</v>
      </c>
      <c r="M26" s="42">
        <v>260</v>
      </c>
      <c r="N26" s="43">
        <v>2</v>
      </c>
      <c r="O26" s="44">
        <v>24000</v>
      </c>
      <c r="P26" s="42">
        <v>377.52678163400014</v>
      </c>
      <c r="Q26" s="47">
        <v>0.42868663086843822</v>
      </c>
      <c r="R26" s="46">
        <v>0.18439803232726795</v>
      </c>
      <c r="S26" s="47">
        <v>0.21643632226289847</v>
      </c>
      <c r="T26" s="47">
        <v>0.27978794992047512</v>
      </c>
      <c r="U26" s="47">
        <v>0.12555707341672823</v>
      </c>
      <c r="V26" s="47">
        <v>6.7311321181126704E-2</v>
      </c>
      <c r="W26" s="47">
        <v>0.1265093008915032</v>
      </c>
      <c r="X26" s="46">
        <f t="shared" si="0"/>
        <v>0.40083435459016642</v>
      </c>
      <c r="Y26" s="46">
        <v>0.10740859212762045</v>
      </c>
      <c r="Z26" s="47">
        <v>6.0777733472269967E-2</v>
      </c>
      <c r="AA26" s="47">
        <v>4.1423179835688911E-2</v>
      </c>
      <c r="AB26" s="47">
        <v>2.6156242206509642E-2</v>
      </c>
      <c r="AC26" s="47">
        <v>1.6326666692781034E-2</v>
      </c>
      <c r="AD26" s="47">
        <v>1.1743438564030756E-2</v>
      </c>
      <c r="AE26" s="47">
        <v>7.9925132338133659E-3</v>
      </c>
      <c r="AF26" s="47">
        <v>7.9595837877609165E-3</v>
      </c>
      <c r="AG26" s="46">
        <v>8.8129080749080966E-3</v>
      </c>
      <c r="AH26" s="47">
        <v>6.2399725960302653E-2</v>
      </c>
      <c r="AI26" s="47">
        <v>2.7481242452939005E-2</v>
      </c>
      <c r="AJ26" s="47">
        <v>1.7081835759761813E-2</v>
      </c>
      <c r="AK26" s="47">
        <v>6.0482803118143422E-3</v>
      </c>
      <c r="AL26" s="47">
        <v>2.417118447325495E-3</v>
      </c>
      <c r="AM26" s="47">
        <v>1.3159624096768252E-3</v>
      </c>
      <c r="AN26" s="46">
        <v>7.662754409121364E-2</v>
      </c>
      <c r="AO26" s="47">
        <v>3.3498329053163939E-2</v>
      </c>
      <c r="AP26" s="47">
        <v>1.0631396086587785E-2</v>
      </c>
      <c r="AQ26" s="63">
        <v>5.7520316605378626E-3</v>
      </c>
    </row>
    <row r="27" spans="1:43" x14ac:dyDescent="0.25">
      <c r="A27" s="54" t="s">
        <v>16</v>
      </c>
      <c r="B27" s="52">
        <v>1</v>
      </c>
      <c r="C27" s="28">
        <v>0.22</v>
      </c>
      <c r="D27" s="29">
        <v>0.47799999999999998</v>
      </c>
      <c r="E27" s="29">
        <v>0.252</v>
      </c>
      <c r="F27" s="29">
        <v>0.05</v>
      </c>
      <c r="G27" s="33">
        <v>108.59399999999999</v>
      </c>
      <c r="H27" s="103" t="s">
        <v>18</v>
      </c>
      <c r="I27" s="34">
        <v>0.2109297</v>
      </c>
      <c r="J27" s="35">
        <v>0.47238295000000002</v>
      </c>
      <c r="K27" s="35">
        <v>0.26476885000000006</v>
      </c>
      <c r="L27" s="35">
        <v>5.1918544999999997E-2</v>
      </c>
      <c r="M27" s="30">
        <v>260</v>
      </c>
      <c r="N27" s="31">
        <v>2</v>
      </c>
      <c r="O27" s="32">
        <v>24000</v>
      </c>
      <c r="P27" s="30">
        <v>136.98786896440612</v>
      </c>
      <c r="Q27" s="35">
        <v>0.19993358991071156</v>
      </c>
      <c r="R27" s="34">
        <v>5.6469006053436299E-2</v>
      </c>
      <c r="S27" s="35">
        <v>0.23967413216101457</v>
      </c>
      <c r="T27" s="35">
        <v>0.35182717463104252</v>
      </c>
      <c r="U27" s="35">
        <v>0.21861085892142773</v>
      </c>
      <c r="V27" s="35">
        <v>2.4097384204015266E-2</v>
      </c>
      <c r="W27" s="35">
        <v>0.10932144402906366</v>
      </c>
      <c r="X27" s="34">
        <f t="shared" si="0"/>
        <v>0.29614313821445087</v>
      </c>
      <c r="Y27" s="34">
        <v>0.10970320098558839</v>
      </c>
      <c r="Z27" s="35">
        <v>7.2764475448745411E-2</v>
      </c>
      <c r="AA27" s="35">
        <v>5.5628822458530514E-2</v>
      </c>
      <c r="AB27" s="35">
        <v>3.7133895822053731E-2</v>
      </c>
      <c r="AC27" s="35">
        <v>2.6336162187688944E-2</v>
      </c>
      <c r="AD27" s="35">
        <v>2.000426670027862E-2</v>
      </c>
      <c r="AE27" s="35">
        <v>1.3888573285657218E-2</v>
      </c>
      <c r="AF27" s="35">
        <v>1.6367777742499628E-2</v>
      </c>
      <c r="AG27" s="34">
        <v>1.4687245045318785E-2</v>
      </c>
      <c r="AH27" s="35">
        <v>0.10438303016165057</v>
      </c>
      <c r="AI27" s="35">
        <v>5.1307854097666389E-2</v>
      </c>
      <c r="AJ27" s="35">
        <v>2.885765480753489E-2</v>
      </c>
      <c r="AK27" s="35">
        <v>1.1528136323389565E-2</v>
      </c>
      <c r="AL27" s="35">
        <v>5.3316277251962306E-3</v>
      </c>
      <c r="AM27" s="35">
        <v>2.5153107606712983E-3</v>
      </c>
      <c r="AN27" s="34">
        <v>6.6715904323716255E-2</v>
      </c>
      <c r="AO27" s="35">
        <v>2.4619945505084832E-2</v>
      </c>
      <c r="AP27" s="35">
        <v>9.3145954318091129E-3</v>
      </c>
      <c r="AQ27" s="62">
        <v>8.6709987684534598E-3</v>
      </c>
    </row>
    <row r="28" spans="1:43" x14ac:dyDescent="0.25">
      <c r="A28" s="10"/>
      <c r="B28" s="10">
        <v>2</v>
      </c>
      <c r="C28" s="28">
        <v>0.05</v>
      </c>
      <c r="D28" s="29">
        <v>0.66200000000000003</v>
      </c>
      <c r="E28" s="29">
        <v>0.05</v>
      </c>
      <c r="F28" s="29">
        <v>0.23799999999999999</v>
      </c>
      <c r="G28" s="33">
        <v>62.06</v>
      </c>
      <c r="H28" s="104"/>
      <c r="I28" s="34">
        <v>4.8321749999999997E-2</v>
      </c>
      <c r="J28" s="35">
        <v>0.66367960000000015</v>
      </c>
      <c r="K28" s="35">
        <v>5.5341769999999998E-2</v>
      </c>
      <c r="L28" s="35">
        <v>0.23265675000000002</v>
      </c>
      <c r="M28" s="30">
        <v>260</v>
      </c>
      <c r="N28" s="31">
        <v>2</v>
      </c>
      <c r="O28" s="32">
        <v>24000</v>
      </c>
      <c r="P28" s="30">
        <v>137.24793729016989</v>
      </c>
      <c r="Q28" s="35">
        <v>0.1459818455584988</v>
      </c>
      <c r="R28" s="34">
        <v>8.7818335974921363E-2</v>
      </c>
      <c r="S28" s="35">
        <v>0.26386855155247435</v>
      </c>
      <c r="T28" s="35">
        <v>0.27113289286306996</v>
      </c>
      <c r="U28" s="35">
        <v>0.14258481395967562</v>
      </c>
      <c r="V28" s="35">
        <v>9.9529893120092888E-2</v>
      </c>
      <c r="W28" s="35">
        <v>0.13506551252976728</v>
      </c>
      <c r="X28" s="34">
        <f t="shared" si="0"/>
        <v>0.35168688752739574</v>
      </c>
      <c r="Y28" s="34">
        <v>0.10808508158800134</v>
      </c>
      <c r="Z28" s="35">
        <v>5.4774147925775729E-2</v>
      </c>
      <c r="AA28" s="35">
        <v>3.8837993242099467E-2</v>
      </c>
      <c r="AB28" s="35">
        <v>2.474965423867747E-2</v>
      </c>
      <c r="AC28" s="35">
        <v>1.6218110741420447E-2</v>
      </c>
      <c r="AD28" s="35">
        <v>1.1836168547108637E-2</v>
      </c>
      <c r="AE28" s="35">
        <v>8.7818988282763084E-3</v>
      </c>
      <c r="AF28" s="35">
        <v>7.8498377517106366E-3</v>
      </c>
      <c r="AG28" s="34">
        <v>1.432673360736317E-2</v>
      </c>
      <c r="AH28" s="35">
        <v>7.0348532630976554E-2</v>
      </c>
      <c r="AI28" s="35">
        <v>3.0567067226608312E-2</v>
      </c>
      <c r="AJ28" s="35">
        <v>1.8429184845867006E-2</v>
      </c>
      <c r="AK28" s="35">
        <v>6.6806084212300554E-3</v>
      </c>
      <c r="AL28" s="35">
        <v>2.2326872276305421E-3</v>
      </c>
      <c r="AM28" s="35">
        <v>0</v>
      </c>
      <c r="AN28" s="34">
        <v>8.4381343998097671E-2</v>
      </c>
      <c r="AO28" s="35">
        <v>3.5094741061360193E-2</v>
      </c>
      <c r="AP28" s="35">
        <v>1.1159646024847415E-2</v>
      </c>
      <c r="AQ28" s="62">
        <v>4.4297814454619866E-3</v>
      </c>
    </row>
    <row r="29" spans="1:43" x14ac:dyDescent="0.25">
      <c r="A29" s="10"/>
      <c r="B29" s="10">
        <v>3</v>
      </c>
      <c r="C29" s="28">
        <v>0.34399999999999997</v>
      </c>
      <c r="D29" s="29">
        <v>0.05</v>
      </c>
      <c r="E29" s="29">
        <v>0.161</v>
      </c>
      <c r="F29" s="81">
        <v>0.44600000000000001</v>
      </c>
      <c r="G29" s="33">
        <v>133.32900000000001</v>
      </c>
      <c r="H29" s="104"/>
      <c r="I29" s="34">
        <v>0.33965114999999996</v>
      </c>
      <c r="J29" s="35">
        <v>6.3023019999999999E-2</v>
      </c>
      <c r="K29" s="35">
        <v>0.17320095000000002</v>
      </c>
      <c r="L29" s="35">
        <v>0.42412485000000005</v>
      </c>
      <c r="M29" s="30">
        <v>260</v>
      </c>
      <c r="N29" s="31">
        <v>2</v>
      </c>
      <c r="O29" s="32">
        <v>24000</v>
      </c>
      <c r="P29" s="30">
        <v>178.20184526042846</v>
      </c>
      <c r="Q29" s="35">
        <v>0.17392790886693638</v>
      </c>
      <c r="R29" s="34">
        <v>0.11434885922793868</v>
      </c>
      <c r="S29" s="35">
        <v>0.23607569618147523</v>
      </c>
      <c r="T29" s="35">
        <v>0.25310453064861543</v>
      </c>
      <c r="U29" s="35">
        <v>0.18019685286898618</v>
      </c>
      <c r="V29" s="35">
        <v>6.6531811135999111E-2</v>
      </c>
      <c r="W29" s="35">
        <v>0.14974224993698482</v>
      </c>
      <c r="X29" s="34">
        <f t="shared" si="0"/>
        <v>0.35042455540941392</v>
      </c>
      <c r="Y29" s="34">
        <v>0.10223721453451469</v>
      </c>
      <c r="Z29" s="35">
        <v>4.9216023520179224E-2</v>
      </c>
      <c r="AA29" s="35">
        <v>3.5281808749205591E-2</v>
      </c>
      <c r="AB29" s="35">
        <v>2.3136358389135577E-2</v>
      </c>
      <c r="AC29" s="35">
        <v>1.5786025841815977E-2</v>
      </c>
      <c r="AD29" s="35">
        <v>1.1098864048079594E-2</v>
      </c>
      <c r="AE29" s="35">
        <v>8.7830808426508696E-3</v>
      </c>
      <c r="AF29" s="35">
        <v>7.5651547230339124E-3</v>
      </c>
      <c r="AG29" s="34">
        <v>1.8024579816092651E-2</v>
      </c>
      <c r="AH29" s="35">
        <v>8.5437879967650288E-2</v>
      </c>
      <c r="AI29" s="35">
        <v>3.9737056341557914E-2</v>
      </c>
      <c r="AJ29" s="35">
        <v>2.3226348159612338E-2</v>
      </c>
      <c r="AK29" s="35">
        <v>8.4365710437672384E-3</v>
      </c>
      <c r="AL29" s="35">
        <v>3.1282927038070725E-3</v>
      </c>
      <c r="AM29" s="35">
        <v>2.2061248364986658E-3</v>
      </c>
      <c r="AN29" s="34">
        <v>8.6388853973961607E-2</v>
      </c>
      <c r="AO29" s="35">
        <v>4.2438206503185257E-2</v>
      </c>
      <c r="AP29" s="35">
        <v>1.5322818751194654E-2</v>
      </c>
      <c r="AQ29" s="62">
        <v>5.5923707086433082E-3</v>
      </c>
    </row>
    <row r="30" spans="1:43" x14ac:dyDescent="0.25">
      <c r="A30" s="10"/>
      <c r="B30" s="10">
        <v>4</v>
      </c>
      <c r="C30" s="28">
        <v>0.112</v>
      </c>
      <c r="D30" s="29">
        <v>0.11899999999999999</v>
      </c>
      <c r="E30" s="29">
        <v>0.126</v>
      </c>
      <c r="F30" s="29">
        <v>0.64400000000000002</v>
      </c>
      <c r="G30" s="33">
        <v>320.09399999999999</v>
      </c>
      <c r="H30" s="105" t="s">
        <v>10</v>
      </c>
      <c r="I30" s="34">
        <v>0.11097315000000001</v>
      </c>
      <c r="J30" s="35">
        <v>0.11673159999999999</v>
      </c>
      <c r="K30" s="35">
        <v>0.14020379999999999</v>
      </c>
      <c r="L30" s="35">
        <v>0.63209145</v>
      </c>
      <c r="M30" s="30">
        <v>260</v>
      </c>
      <c r="N30" s="31">
        <v>2</v>
      </c>
      <c r="O30" s="32">
        <v>24000</v>
      </c>
      <c r="P30" s="30">
        <v>349.17129955632919</v>
      </c>
      <c r="Q30" s="35">
        <v>0.38737618495199688</v>
      </c>
      <c r="R30" s="34">
        <v>0.18993014431461741</v>
      </c>
      <c r="S30" s="35">
        <v>0.22265397843295026</v>
      </c>
      <c r="T30" s="35">
        <v>0.28555779436148543</v>
      </c>
      <c r="U30" s="35">
        <v>0.11490157065957868</v>
      </c>
      <c r="V30" s="35">
        <v>6.0045659034741461E-2</v>
      </c>
      <c r="W30" s="35">
        <v>0.12691085319662687</v>
      </c>
      <c r="X30" s="34">
        <f t="shared" si="0"/>
        <v>0.41258412274756767</v>
      </c>
      <c r="Y30" s="34">
        <v>0.11175858082735105</v>
      </c>
      <c r="Z30" s="35">
        <v>6.4715275328095068E-2</v>
      </c>
      <c r="AA30" s="35">
        <v>4.1046076138528995E-2</v>
      </c>
      <c r="AB30" s="35">
        <v>2.5062448719508225E-2</v>
      </c>
      <c r="AC30" s="35">
        <v>1.5338241662583163E-2</v>
      </c>
      <c r="AD30" s="35">
        <v>1.1285399460628688E-2</v>
      </c>
      <c r="AE30" s="35">
        <v>7.5317583733724002E-3</v>
      </c>
      <c r="AF30" s="35">
        <v>8.8200138514179065E-3</v>
      </c>
      <c r="AG30" s="34">
        <v>7.892613824486968E-3</v>
      </c>
      <c r="AH30" s="35">
        <v>5.9330926164353391E-2</v>
      </c>
      <c r="AI30" s="35">
        <v>2.5061794877028712E-2</v>
      </c>
      <c r="AJ30" s="35">
        <v>1.4423555848700535E-2</v>
      </c>
      <c r="AK30" s="35">
        <v>5.2981102416697796E-3</v>
      </c>
      <c r="AL30" s="35">
        <v>1.9552781694112723E-3</v>
      </c>
      <c r="AM30" s="35">
        <v>9.3929153392803989E-4</v>
      </c>
      <c r="AN30" s="34">
        <v>7.7062430617710481E-2</v>
      </c>
      <c r="AO30" s="35">
        <v>3.3580258869775489E-2</v>
      </c>
      <c r="AP30" s="35">
        <v>1.0236580248848565E-2</v>
      </c>
      <c r="AQ30" s="62">
        <v>6.0315834602923547E-3</v>
      </c>
    </row>
    <row r="31" spans="1:43" x14ac:dyDescent="0.25">
      <c r="A31" s="10"/>
      <c r="B31" s="10">
        <v>5</v>
      </c>
      <c r="C31" s="28">
        <v>9.7000000000000003E-2</v>
      </c>
      <c r="D31" s="29">
        <v>0.05</v>
      </c>
      <c r="E31" s="29">
        <v>0.1</v>
      </c>
      <c r="F31" s="29">
        <v>0.753</v>
      </c>
      <c r="G31" s="33">
        <v>327.91</v>
      </c>
      <c r="H31" s="105"/>
      <c r="I31" s="34">
        <v>9.4925619999999988E-2</v>
      </c>
      <c r="J31" s="35">
        <v>5.3185140000000006E-2</v>
      </c>
      <c r="K31" s="35">
        <v>0.11485285000000001</v>
      </c>
      <c r="L31" s="35">
        <v>0.73703640000000004</v>
      </c>
      <c r="M31" s="30">
        <v>260</v>
      </c>
      <c r="N31" s="31">
        <v>2</v>
      </c>
      <c r="O31" s="32">
        <v>24000</v>
      </c>
      <c r="P31" s="30">
        <v>362.27134902488092</v>
      </c>
      <c r="Q31" s="35">
        <v>0.38221549506161889</v>
      </c>
      <c r="R31" s="34">
        <v>0.17003782934414916</v>
      </c>
      <c r="S31" s="35">
        <v>0.23078062494366119</v>
      </c>
      <c r="T31" s="35">
        <v>0.27159667451128505</v>
      </c>
      <c r="U31" s="35">
        <v>0.12484219324139757</v>
      </c>
      <c r="V31" s="35">
        <v>7.2494531009254182E-2</v>
      </c>
      <c r="W31" s="35">
        <v>0.13024814695025252</v>
      </c>
      <c r="X31" s="34">
        <f t="shared" si="0"/>
        <v>0.40081845428781038</v>
      </c>
      <c r="Y31" s="34">
        <v>0.10728936157766994</v>
      </c>
      <c r="Z31" s="35">
        <v>5.8978413592306572E-2</v>
      </c>
      <c r="AA31" s="35">
        <v>4.081047787488315E-2</v>
      </c>
      <c r="AB31" s="35">
        <v>2.5190822360715466E-2</v>
      </c>
      <c r="AC31" s="35">
        <v>1.5871115659516773E-2</v>
      </c>
      <c r="AD31" s="35">
        <v>1.0689387615112924E-2</v>
      </c>
      <c r="AE31" s="35">
        <v>7.3972160645253294E-3</v>
      </c>
      <c r="AF31" s="35">
        <v>5.3698797665549265E-3</v>
      </c>
      <c r="AG31" s="34">
        <v>8.7990585650484683E-3</v>
      </c>
      <c r="AH31" s="35">
        <v>6.2053990307297552E-2</v>
      </c>
      <c r="AI31" s="35">
        <v>2.7153180964341956E-2</v>
      </c>
      <c r="AJ31" s="35">
        <v>1.7579783431830684E-2</v>
      </c>
      <c r="AK31" s="35">
        <v>5.7186803750195869E-3</v>
      </c>
      <c r="AL31" s="35">
        <v>2.1834170792010528E-3</v>
      </c>
      <c r="AM31" s="35">
        <v>1.3540825186582814E-3</v>
      </c>
      <c r="AN31" s="34">
        <v>7.7863681799941381E-2</v>
      </c>
      <c r="AO31" s="35">
        <v>3.5046249175671743E-2</v>
      </c>
      <c r="AP31" s="35">
        <v>1.2361546562560714E-2</v>
      </c>
      <c r="AQ31" s="62">
        <v>4.9766694120787058E-3</v>
      </c>
    </row>
    <row r="32" spans="1:43" x14ac:dyDescent="0.25">
      <c r="A32" s="15"/>
      <c r="B32" s="15">
        <v>6</v>
      </c>
      <c r="C32" s="40">
        <v>7.4999999999999997E-2</v>
      </c>
      <c r="D32" s="41">
        <v>0.11899999999999999</v>
      </c>
      <c r="E32" s="41">
        <v>0.05</v>
      </c>
      <c r="F32" s="80">
        <v>0.75600000000000001</v>
      </c>
      <c r="G32" s="45">
        <v>344.61500000000001</v>
      </c>
      <c r="H32" s="106"/>
      <c r="I32" s="46">
        <v>6.7304570000000008E-2</v>
      </c>
      <c r="J32" s="47">
        <v>0.12612489999999998</v>
      </c>
      <c r="K32" s="47">
        <v>6.0288570000000007E-2</v>
      </c>
      <c r="L32" s="47">
        <v>0.74628200000000011</v>
      </c>
      <c r="M32" s="42">
        <v>260</v>
      </c>
      <c r="N32" s="43">
        <v>2</v>
      </c>
      <c r="O32" s="44">
        <v>24000</v>
      </c>
      <c r="P32" s="42">
        <v>376.43230175090855</v>
      </c>
      <c r="Q32" s="47">
        <v>0.44984259558505513</v>
      </c>
      <c r="R32" s="46">
        <v>0.19464022959398569</v>
      </c>
      <c r="S32" s="47">
        <v>0.20260860945851761</v>
      </c>
      <c r="T32" s="47">
        <v>0.29638350093636195</v>
      </c>
      <c r="U32" s="47">
        <v>0.12574589504051129</v>
      </c>
      <c r="V32" s="47">
        <v>6.133396523377585E-2</v>
      </c>
      <c r="W32" s="47">
        <v>0.11928779973684737</v>
      </c>
      <c r="X32" s="46">
        <f t="shared" si="0"/>
        <v>0.3972488390525033</v>
      </c>
      <c r="Y32" s="46">
        <v>0.10492176499843547</v>
      </c>
      <c r="Z32" s="47">
        <v>6.3643727066500747E-2</v>
      </c>
      <c r="AA32" s="47">
        <v>4.4813779229464439E-2</v>
      </c>
      <c r="AB32" s="47">
        <v>2.94326141697283E-2</v>
      </c>
      <c r="AC32" s="47">
        <v>1.8782895867959157E-2</v>
      </c>
      <c r="AD32" s="47">
        <v>1.4308703720153866E-2</v>
      </c>
      <c r="AE32" s="47">
        <v>9.5630416701371311E-3</v>
      </c>
      <c r="AF32" s="47">
        <v>1.0916974213982845E-2</v>
      </c>
      <c r="AG32" s="46">
        <v>8.3121061980160407E-3</v>
      </c>
      <c r="AH32" s="47">
        <v>6.1097386919565844E-2</v>
      </c>
      <c r="AI32" s="47">
        <v>2.7830702539267789E-2</v>
      </c>
      <c r="AJ32" s="47">
        <v>1.7706348837811314E-2</v>
      </c>
      <c r="AK32" s="47">
        <v>6.6723738490429008E-3</v>
      </c>
      <c r="AL32" s="47">
        <v>2.797247876199037E-3</v>
      </c>
      <c r="AM32" s="47">
        <v>1.3297288206083877E-3</v>
      </c>
      <c r="AN32" s="46">
        <v>7.0639925430747416E-2</v>
      </c>
      <c r="AO32" s="47">
        <v>3.2356004243071404E-2</v>
      </c>
      <c r="AP32" s="47">
        <v>9.4722682584070326E-3</v>
      </c>
      <c r="AQ32" s="63">
        <v>6.8196018046215185E-3</v>
      </c>
    </row>
  </sheetData>
  <sortState xmlns:xlrd2="http://schemas.microsoft.com/office/spreadsheetml/2017/richdata2" ref="C27:AA32">
    <sortCondition ref="P27:P32"/>
  </sortState>
  <mergeCells count="19">
    <mergeCell ref="H3:H7"/>
    <mergeCell ref="H15:H17"/>
    <mergeCell ref="H18:H20"/>
    <mergeCell ref="H21:H22"/>
    <mergeCell ref="R1:W1"/>
    <mergeCell ref="I1:L1"/>
    <mergeCell ref="M1:O1"/>
    <mergeCell ref="P1:Q1"/>
    <mergeCell ref="H27:H29"/>
    <mergeCell ref="H30:H32"/>
    <mergeCell ref="H23:H26"/>
    <mergeCell ref="H13:H14"/>
    <mergeCell ref="H9:H12"/>
    <mergeCell ref="B1:B2"/>
    <mergeCell ref="Y1:AF1"/>
    <mergeCell ref="AG1:AM1"/>
    <mergeCell ref="AN1:AQ1"/>
    <mergeCell ref="C1:F1"/>
    <mergeCell ref="H1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7"/>
  <sheetViews>
    <sheetView zoomScale="70" zoomScaleNormal="70" workbookViewId="0">
      <pane ySplit="2" topLeftCell="A3" activePane="bottomLeft" state="frozen"/>
      <selection pane="bottomLeft"/>
    </sheetView>
  </sheetViews>
  <sheetFormatPr defaultColWidth="9.140625" defaultRowHeight="15.75" x14ac:dyDescent="0.25"/>
  <cols>
    <col min="1" max="2" width="9.140625" style="10"/>
    <col min="3" max="3" width="9.140625" style="65"/>
    <col min="4" max="6" width="9.140625" style="10"/>
    <col min="7" max="7" width="9.140625" style="65"/>
    <col min="8" max="8" width="9.140625" style="10"/>
    <col min="9" max="9" width="20.28515625" style="10" bestFit="1" customWidth="1"/>
    <col min="10" max="10" width="20" style="30" customWidth="1"/>
    <col min="11" max="11" width="15.28515625" style="10" bestFit="1" customWidth="1"/>
    <col min="12" max="12" width="9.140625" style="65"/>
    <col min="13" max="17" width="9.140625" style="10"/>
    <col min="18" max="19" width="9.140625" style="65"/>
    <col min="20" max="27" width="9.140625" style="10"/>
    <col min="28" max="28" width="9.140625" style="65"/>
    <col min="29" max="34" width="9.140625" style="10"/>
    <col min="35" max="35" width="9.140625" style="65"/>
    <col min="36" max="38" width="9.140625" style="10"/>
    <col min="39" max="39" width="9.140625" style="71"/>
    <col min="40" max="16384" width="9.140625" style="10"/>
  </cols>
  <sheetData>
    <row r="1" spans="1:39" x14ac:dyDescent="0.25">
      <c r="B1" s="97" t="s">
        <v>11</v>
      </c>
      <c r="C1" s="91" t="s">
        <v>19</v>
      </c>
      <c r="D1" s="92"/>
      <c r="E1" s="92"/>
      <c r="F1" s="92"/>
      <c r="G1" s="91" t="s">
        <v>32</v>
      </c>
      <c r="H1" s="92"/>
      <c r="I1" s="92"/>
      <c r="J1" s="88" t="s">
        <v>37</v>
      </c>
      <c r="K1" s="89"/>
      <c r="L1" s="88" t="s">
        <v>38</v>
      </c>
      <c r="M1" s="90"/>
      <c r="N1" s="90"/>
      <c r="O1" s="90"/>
      <c r="P1" s="90"/>
      <c r="Q1" s="90"/>
      <c r="R1" s="70" t="s">
        <v>30</v>
      </c>
      <c r="S1" s="93" t="s">
        <v>6</v>
      </c>
      <c r="T1" s="94"/>
      <c r="U1" s="94"/>
      <c r="V1" s="94"/>
      <c r="W1" s="94"/>
      <c r="X1" s="94"/>
      <c r="Y1" s="94"/>
      <c r="Z1" s="94"/>
      <c r="AA1" s="107"/>
      <c r="AB1" s="95" t="s">
        <v>5</v>
      </c>
      <c r="AC1" s="96"/>
      <c r="AD1" s="96"/>
      <c r="AE1" s="96"/>
      <c r="AF1" s="96"/>
      <c r="AG1" s="96"/>
      <c r="AH1" s="96"/>
      <c r="AI1" s="86" t="s">
        <v>8</v>
      </c>
      <c r="AJ1" s="87"/>
      <c r="AK1" s="87"/>
      <c r="AL1" s="87"/>
      <c r="AM1" s="87"/>
    </row>
    <row r="2" spans="1:39" ht="18.75" x14ac:dyDescent="0.25">
      <c r="A2" s="15"/>
      <c r="B2" s="98"/>
      <c r="C2" s="16" t="s">
        <v>0</v>
      </c>
      <c r="D2" s="17" t="s">
        <v>1</v>
      </c>
      <c r="E2" s="17" t="s">
        <v>2</v>
      </c>
      <c r="F2" s="17" t="s">
        <v>3</v>
      </c>
      <c r="G2" s="16" t="s">
        <v>4</v>
      </c>
      <c r="H2" s="17" t="s">
        <v>33</v>
      </c>
      <c r="I2" s="17" t="s">
        <v>31</v>
      </c>
      <c r="J2" s="18" t="s">
        <v>20</v>
      </c>
      <c r="K2" s="19" t="s">
        <v>29</v>
      </c>
      <c r="L2" s="20" t="s">
        <v>34</v>
      </c>
      <c r="M2" s="21" t="s">
        <v>35</v>
      </c>
      <c r="N2" s="12" t="s">
        <v>6</v>
      </c>
      <c r="O2" s="13" t="s">
        <v>5</v>
      </c>
      <c r="P2" s="22" t="s">
        <v>7</v>
      </c>
      <c r="Q2" s="14" t="s">
        <v>8</v>
      </c>
      <c r="R2" s="23" t="s">
        <v>9</v>
      </c>
      <c r="S2" s="24" t="s">
        <v>21</v>
      </c>
      <c r="T2" s="25" t="s">
        <v>22</v>
      </c>
      <c r="U2" s="25" t="s">
        <v>23</v>
      </c>
      <c r="V2" s="25" t="s">
        <v>24</v>
      </c>
      <c r="W2" s="25" t="s">
        <v>25</v>
      </c>
      <c r="X2" s="25" t="s">
        <v>26</v>
      </c>
      <c r="Y2" s="25" t="s">
        <v>27</v>
      </c>
      <c r="Z2" s="25" t="s">
        <v>28</v>
      </c>
      <c r="AA2" s="25" t="s">
        <v>48</v>
      </c>
      <c r="AB2" s="24" t="s">
        <v>21</v>
      </c>
      <c r="AC2" s="25" t="s">
        <v>22</v>
      </c>
      <c r="AD2" s="25" t="s">
        <v>23</v>
      </c>
      <c r="AE2" s="25" t="s">
        <v>24</v>
      </c>
      <c r="AF2" s="25" t="s">
        <v>25</v>
      </c>
      <c r="AG2" s="25" t="s">
        <v>26</v>
      </c>
      <c r="AH2" s="25" t="s">
        <v>47</v>
      </c>
      <c r="AI2" s="24" t="s">
        <v>21</v>
      </c>
      <c r="AJ2" s="25" t="s">
        <v>22</v>
      </c>
      <c r="AK2" s="25" t="s">
        <v>23</v>
      </c>
      <c r="AL2" s="25" t="s">
        <v>24</v>
      </c>
      <c r="AM2" s="26" t="s">
        <v>49</v>
      </c>
    </row>
    <row r="3" spans="1:39" x14ac:dyDescent="0.25">
      <c r="A3" s="27" t="s">
        <v>46</v>
      </c>
      <c r="B3" s="10">
        <v>1</v>
      </c>
      <c r="C3" s="34">
        <v>0.10100000000000001</v>
      </c>
      <c r="D3" s="35">
        <v>0.47799999999999998</v>
      </c>
      <c r="E3" s="35">
        <v>0.21299999999999999</v>
      </c>
      <c r="F3" s="35">
        <v>0.20799999999999999</v>
      </c>
      <c r="G3" s="30">
        <v>250</v>
      </c>
      <c r="H3" s="31">
        <v>1.5</v>
      </c>
      <c r="I3" s="10">
        <v>30000</v>
      </c>
      <c r="J3" s="30">
        <v>67.56913449896787</v>
      </c>
      <c r="K3" s="35">
        <v>6.7953681007453443E-2</v>
      </c>
      <c r="L3" s="58">
        <v>6.4081682591612524E-2</v>
      </c>
      <c r="M3" s="35">
        <v>0.29769614074363548</v>
      </c>
      <c r="N3" s="35">
        <v>0.2135000279801032</v>
      </c>
      <c r="O3" s="35">
        <v>0.24746265454819735</v>
      </c>
      <c r="P3" s="35">
        <v>6.2994068020675656E-2</v>
      </c>
      <c r="Q3" s="35">
        <v>0.11426542611578146</v>
      </c>
      <c r="R3" s="34">
        <f t="shared" ref="R3:R22" si="0">L3+M3</f>
        <v>0.36177782333524799</v>
      </c>
      <c r="S3" s="34">
        <v>9.1270237195258966E-2</v>
      </c>
      <c r="T3" s="35">
        <v>4.1575940204431047E-2</v>
      </c>
      <c r="U3" s="35">
        <v>2.8252780851519558E-2</v>
      </c>
      <c r="V3" s="35">
        <v>1.739901152139374E-2</v>
      </c>
      <c r="W3" s="35">
        <v>1.1878000884411244E-2</v>
      </c>
      <c r="X3" s="35">
        <v>9.6980014798280258E-3</v>
      </c>
      <c r="Y3" s="35">
        <v>7.3758378024844371E-3</v>
      </c>
      <c r="Z3" s="35">
        <v>6.0502180407762049E-3</v>
      </c>
      <c r="AA3" s="35">
        <v>0</v>
      </c>
      <c r="AB3" s="34">
        <v>4.7217114474064174E-2</v>
      </c>
      <c r="AC3" s="35">
        <v>0.10512126135445327</v>
      </c>
      <c r="AD3" s="35">
        <v>5.1875828414902327E-2</v>
      </c>
      <c r="AE3" s="35">
        <v>2.74978886603305E-2</v>
      </c>
      <c r="AF3" s="35">
        <v>1.1128665716054177E-2</v>
      </c>
      <c r="AG3" s="35">
        <v>4.6218959283928955E-3</v>
      </c>
      <c r="AH3" s="35">
        <v>0</v>
      </c>
      <c r="AI3" s="34">
        <v>6.5172257549183835E-2</v>
      </c>
      <c r="AJ3" s="35">
        <v>4.0918660138807114E-2</v>
      </c>
      <c r="AK3" s="35">
        <v>8.1745084277905083E-3</v>
      </c>
      <c r="AL3" s="35">
        <v>0</v>
      </c>
      <c r="AM3" s="62">
        <v>0</v>
      </c>
    </row>
    <row r="4" spans="1:39" x14ac:dyDescent="0.25">
      <c r="B4" s="10">
        <v>2</v>
      </c>
      <c r="C4" s="34">
        <v>0.10100000000000001</v>
      </c>
      <c r="D4" s="35">
        <v>0.47799999999999998</v>
      </c>
      <c r="E4" s="35">
        <v>0.21299999999999999</v>
      </c>
      <c r="F4" s="35">
        <v>0.20799999999999999</v>
      </c>
      <c r="G4" s="30">
        <v>270</v>
      </c>
      <c r="H4" s="31">
        <v>1.5</v>
      </c>
      <c r="I4" s="10">
        <v>27000</v>
      </c>
      <c r="J4" s="30">
        <v>149.9079427168119</v>
      </c>
      <c r="K4" s="35">
        <v>0.1354741145526184</v>
      </c>
      <c r="L4" s="34">
        <v>9.8887797638681663E-2</v>
      </c>
      <c r="M4" s="35">
        <v>0.23970845820690481</v>
      </c>
      <c r="N4" s="35">
        <v>0.26435809342085453</v>
      </c>
      <c r="O4" s="35">
        <v>0.23135334422096468</v>
      </c>
      <c r="P4" s="35">
        <v>5.1566054013195702E-2</v>
      </c>
      <c r="Q4" s="35">
        <v>0.11412625249939885</v>
      </c>
      <c r="R4" s="34">
        <f t="shared" si="0"/>
        <v>0.3385962558455865</v>
      </c>
      <c r="S4" s="34">
        <v>0.1143785398219173</v>
      </c>
      <c r="T4" s="35">
        <v>5.1232109065788303E-2</v>
      </c>
      <c r="U4" s="35">
        <v>3.6884290031103162E-2</v>
      </c>
      <c r="V4" s="35">
        <v>2.367726037245186E-2</v>
      </c>
      <c r="W4" s="35">
        <v>1.5637969580977247E-2</v>
      </c>
      <c r="X4" s="35">
        <v>1.1598096617682536E-2</v>
      </c>
      <c r="Y4" s="35">
        <v>8.3304978331416625E-3</v>
      </c>
      <c r="Z4" s="35">
        <v>2.6193300977924937E-3</v>
      </c>
      <c r="AA4" s="35">
        <v>0</v>
      </c>
      <c r="AB4" s="34">
        <v>2.5962286014128977E-2</v>
      </c>
      <c r="AC4" s="35">
        <v>0.10990953028149264</v>
      </c>
      <c r="AD4" s="35">
        <v>5.2347313398374062E-2</v>
      </c>
      <c r="AE4" s="35">
        <v>2.6758502967525091E-2</v>
      </c>
      <c r="AF4" s="35">
        <v>9.896978030574809E-3</v>
      </c>
      <c r="AG4" s="35">
        <v>3.9111631815940961E-3</v>
      </c>
      <c r="AH4" s="35">
        <v>2.5675703472750003E-3</v>
      </c>
      <c r="AI4" s="34">
        <v>6.0980227208840887E-2</v>
      </c>
      <c r="AJ4" s="35">
        <v>3.7918466609160068E-2</v>
      </c>
      <c r="AK4" s="35">
        <v>1.1181195561245427E-2</v>
      </c>
      <c r="AL4" s="35">
        <v>4.0463631201524634E-3</v>
      </c>
      <c r="AM4" s="62">
        <v>0</v>
      </c>
    </row>
    <row r="5" spans="1:39" x14ac:dyDescent="0.25">
      <c r="B5" s="10">
        <v>3</v>
      </c>
      <c r="C5" s="34">
        <v>0.10100000000000001</v>
      </c>
      <c r="D5" s="35">
        <v>0.47799999999999998</v>
      </c>
      <c r="E5" s="35">
        <v>0.21299999999999999</v>
      </c>
      <c r="F5" s="35">
        <v>0.20799999999999999</v>
      </c>
      <c r="G5" s="30">
        <v>240</v>
      </c>
      <c r="H5" s="31">
        <v>3</v>
      </c>
      <c r="I5" s="10">
        <v>42000</v>
      </c>
      <c r="J5" s="30">
        <v>51.050119285191776</v>
      </c>
      <c r="K5" s="35">
        <v>0</v>
      </c>
      <c r="L5" s="34">
        <v>5.2134728152745627E-2</v>
      </c>
      <c r="M5" s="35">
        <v>0.39710873439420402</v>
      </c>
      <c r="N5" s="35">
        <v>0.1782617568847453</v>
      </c>
      <c r="O5" s="35">
        <v>0.16190727730790599</v>
      </c>
      <c r="P5" s="35">
        <v>0.10895152969956479</v>
      </c>
      <c r="Q5" s="35">
        <v>0.10163597356083369</v>
      </c>
      <c r="R5" s="34">
        <f t="shared" si="0"/>
        <v>0.44924346254694963</v>
      </c>
      <c r="S5" s="34">
        <v>0.10043000534681729</v>
      </c>
      <c r="T5" s="35">
        <v>3.6252573797012549E-2</v>
      </c>
      <c r="U5" s="35">
        <v>2.1929973029778276E-2</v>
      </c>
      <c r="V5" s="35">
        <v>1.189851964996892E-2</v>
      </c>
      <c r="W5" s="35">
        <v>7.7506850611682703E-3</v>
      </c>
      <c r="X5" s="35">
        <v>0</v>
      </c>
      <c r="Y5" s="35">
        <v>0</v>
      </c>
      <c r="Z5" s="35">
        <v>0</v>
      </c>
      <c r="AA5" s="35">
        <v>0</v>
      </c>
      <c r="AB5" s="34">
        <v>4.1043575086249749E-2</v>
      </c>
      <c r="AC5" s="35">
        <v>7.3176860574362373E-2</v>
      </c>
      <c r="AD5" s="35">
        <v>3.1860597280517579E-2</v>
      </c>
      <c r="AE5" s="35">
        <v>1.5826244366776297E-2</v>
      </c>
      <c r="AF5" s="35">
        <v>0</v>
      </c>
      <c r="AG5" s="35">
        <v>0</v>
      </c>
      <c r="AH5" s="35">
        <v>0</v>
      </c>
      <c r="AI5" s="34">
        <v>7.3608324166968553E-2</v>
      </c>
      <c r="AJ5" s="35">
        <v>2.8027649393865133E-2</v>
      </c>
      <c r="AK5" s="35">
        <v>0</v>
      </c>
      <c r="AL5" s="35">
        <v>0</v>
      </c>
      <c r="AM5" s="62">
        <v>0</v>
      </c>
    </row>
    <row r="6" spans="1:39" x14ac:dyDescent="0.25">
      <c r="B6" s="10">
        <v>4</v>
      </c>
      <c r="C6" s="34">
        <v>0.10100000000000001</v>
      </c>
      <c r="D6" s="35">
        <v>0.47799999999999998</v>
      </c>
      <c r="E6" s="35">
        <v>0.21299999999999999</v>
      </c>
      <c r="F6" s="35">
        <v>0.20799999999999999</v>
      </c>
      <c r="G6" s="30">
        <v>260</v>
      </c>
      <c r="H6" s="31">
        <v>3</v>
      </c>
      <c r="I6" s="10">
        <v>36000</v>
      </c>
      <c r="J6" s="30">
        <v>125.91585322191737</v>
      </c>
      <c r="K6" s="35">
        <v>0.11097290241999334</v>
      </c>
      <c r="L6" s="34">
        <v>6.3001087012551943E-2</v>
      </c>
      <c r="M6" s="35">
        <v>0.34400444684190012</v>
      </c>
      <c r="N6" s="35">
        <v>0.24829196291597089</v>
      </c>
      <c r="O6" s="35">
        <v>0.13001830124038155</v>
      </c>
      <c r="P6" s="35">
        <v>9.9560960484998531E-2</v>
      </c>
      <c r="Q6" s="35">
        <v>0.11512324150419612</v>
      </c>
      <c r="R6" s="34">
        <f t="shared" si="0"/>
        <v>0.40700553385445204</v>
      </c>
      <c r="S6" s="34">
        <v>0.12984705412402667</v>
      </c>
      <c r="T6" s="35">
        <v>4.891002130405351E-2</v>
      </c>
      <c r="U6" s="35">
        <v>2.8822189171841716E-2</v>
      </c>
      <c r="V6" s="35">
        <v>1.5804461970338378E-2</v>
      </c>
      <c r="W6" s="35">
        <v>9.5922970008122735E-3</v>
      </c>
      <c r="X6" s="35">
        <v>6.6928517501768526E-3</v>
      </c>
      <c r="Y6" s="35">
        <v>5.0243662880169807E-3</v>
      </c>
      <c r="Z6" s="35">
        <v>3.5987213067045264E-3</v>
      </c>
      <c r="AA6" s="35">
        <v>0</v>
      </c>
      <c r="AB6" s="34">
        <v>1.8756154633612306E-2</v>
      </c>
      <c r="AC6" s="35">
        <v>7.1508107827009532E-2</v>
      </c>
      <c r="AD6" s="35">
        <v>2.7975306188318071E-2</v>
      </c>
      <c r="AE6" s="35">
        <v>1.1778732591441632E-2</v>
      </c>
      <c r="AF6" s="35">
        <v>0</v>
      </c>
      <c r="AG6" s="35">
        <v>0</v>
      </c>
      <c r="AH6" s="35">
        <v>0</v>
      </c>
      <c r="AI6" s="34">
        <v>7.3694988827510591E-2</v>
      </c>
      <c r="AJ6" s="35">
        <v>3.5568120175659426E-2</v>
      </c>
      <c r="AK6" s="35">
        <v>5.8601325010261005E-3</v>
      </c>
      <c r="AL6" s="35">
        <v>0</v>
      </c>
      <c r="AM6" s="62">
        <v>0</v>
      </c>
    </row>
    <row r="7" spans="1:39" x14ac:dyDescent="0.25">
      <c r="B7" s="10">
        <v>5</v>
      </c>
      <c r="C7" s="34">
        <v>0.10100000000000001</v>
      </c>
      <c r="D7" s="35">
        <v>0.47799999999999998</v>
      </c>
      <c r="E7" s="35">
        <v>0.21299999999999999</v>
      </c>
      <c r="F7" s="35">
        <v>0.20799999999999999</v>
      </c>
      <c r="G7" s="30">
        <v>280</v>
      </c>
      <c r="H7" s="31">
        <v>2.5</v>
      </c>
      <c r="I7" s="10">
        <v>24000</v>
      </c>
      <c r="J7" s="30">
        <v>193.83402559686829</v>
      </c>
      <c r="K7" s="35">
        <v>0.31413675524480583</v>
      </c>
      <c r="L7" s="34">
        <v>0.15298363381964936</v>
      </c>
      <c r="M7" s="35">
        <v>0.29556225671495651</v>
      </c>
      <c r="N7" s="35">
        <v>0.29511282029498548</v>
      </c>
      <c r="O7" s="35">
        <v>9.7811587023211161E-2</v>
      </c>
      <c r="P7" s="35">
        <v>6.1125072286273646E-2</v>
      </c>
      <c r="Q7" s="35">
        <v>9.7404629860925032E-2</v>
      </c>
      <c r="R7" s="34">
        <f t="shared" si="0"/>
        <v>0.44854589053460586</v>
      </c>
      <c r="S7" s="34">
        <v>0.13769218888065088</v>
      </c>
      <c r="T7" s="35">
        <v>7.1626436425558701E-2</v>
      </c>
      <c r="U7" s="35">
        <v>3.5086108163876827E-2</v>
      </c>
      <c r="V7" s="35">
        <v>2.2359064566798287E-2</v>
      </c>
      <c r="W7" s="35">
        <v>1.209154090472005E-2</v>
      </c>
      <c r="X7" s="35">
        <v>7.4842040012058596E-3</v>
      </c>
      <c r="Y7" s="35">
        <v>4.9544663819945326E-3</v>
      </c>
      <c r="Z7" s="35">
        <v>3.8188109701803074E-3</v>
      </c>
      <c r="AA7" s="35">
        <v>0</v>
      </c>
      <c r="AB7" s="34">
        <v>7.8626721446339812E-3</v>
      </c>
      <c r="AC7" s="35">
        <v>5.7897292871679398E-2</v>
      </c>
      <c r="AD7" s="35">
        <v>2.0300996426839347E-2</v>
      </c>
      <c r="AE7" s="35">
        <v>8.7424492817764193E-3</v>
      </c>
      <c r="AF7" s="35">
        <v>3.0081762982820167E-3</v>
      </c>
      <c r="AG7" s="35">
        <v>0</v>
      </c>
      <c r="AH7" s="35">
        <v>0</v>
      </c>
      <c r="AI7" s="34">
        <v>5.6071296139481197E-2</v>
      </c>
      <c r="AJ7" s="35">
        <v>3.0874392373830294E-2</v>
      </c>
      <c r="AK7" s="35">
        <v>7.9597787977071476E-3</v>
      </c>
      <c r="AL7" s="35">
        <v>2.499162549906387E-3</v>
      </c>
      <c r="AM7" s="62">
        <v>0</v>
      </c>
    </row>
    <row r="8" spans="1:39" x14ac:dyDescent="0.25">
      <c r="B8" s="10">
        <v>6</v>
      </c>
      <c r="C8" s="34">
        <v>0.128</v>
      </c>
      <c r="D8" s="35">
        <v>0.112</v>
      </c>
      <c r="E8" s="35">
        <v>0.40100000000000002</v>
      </c>
      <c r="F8" s="35">
        <v>0.35899999999999999</v>
      </c>
      <c r="G8" s="30">
        <v>250</v>
      </c>
      <c r="H8" s="31">
        <v>1.5</v>
      </c>
      <c r="I8" s="10">
        <v>12000</v>
      </c>
      <c r="J8" s="30">
        <v>94.303809432411242</v>
      </c>
      <c r="K8" s="35">
        <v>0.18183568103210565</v>
      </c>
      <c r="L8" s="34">
        <v>0.13554280416970271</v>
      </c>
      <c r="M8" s="35">
        <v>0.19521447624933766</v>
      </c>
      <c r="N8" s="35">
        <v>0.25657088594892763</v>
      </c>
      <c r="O8" s="35">
        <v>0.24065346019150025</v>
      </c>
      <c r="P8" s="35">
        <v>3.677933232345236E-2</v>
      </c>
      <c r="Q8" s="35">
        <v>0.13523904111707735</v>
      </c>
      <c r="R8" s="34">
        <f t="shared" si="0"/>
        <v>0.3307572804190404</v>
      </c>
      <c r="S8" s="34">
        <v>0.1080237055068233</v>
      </c>
      <c r="T8" s="35">
        <v>5.190748800013046E-2</v>
      </c>
      <c r="U8" s="35">
        <v>3.6567806626559354E-2</v>
      </c>
      <c r="V8" s="35">
        <v>2.2771569959469402E-2</v>
      </c>
      <c r="W8" s="35">
        <v>1.5730813217368834E-2</v>
      </c>
      <c r="X8" s="35">
        <v>1.0793238579391507E-2</v>
      </c>
      <c r="Y8" s="35">
        <v>8.2676615260525114E-3</v>
      </c>
      <c r="Z8" s="35">
        <v>2.508602533132241E-3</v>
      </c>
      <c r="AA8" s="35">
        <v>0</v>
      </c>
      <c r="AB8" s="34">
        <v>2.6903246826649463E-2</v>
      </c>
      <c r="AC8" s="35">
        <v>0.11293436511360003</v>
      </c>
      <c r="AD8" s="35">
        <v>5.4641154500926971E-2</v>
      </c>
      <c r="AE8" s="35">
        <v>2.8529530231246242E-2</v>
      </c>
      <c r="AF8" s="35">
        <v>1.0785869560625994E-2</v>
      </c>
      <c r="AG8" s="35">
        <v>4.2574198347360001E-3</v>
      </c>
      <c r="AH8" s="35">
        <v>2.6018741237155574E-3</v>
      </c>
      <c r="AI8" s="34">
        <v>6.4754709410095146E-2</v>
      </c>
      <c r="AJ8" s="35">
        <v>4.8136895388065946E-2</v>
      </c>
      <c r="AK8" s="35">
        <v>1.6859198522542664E-2</v>
      </c>
      <c r="AL8" s="35">
        <v>5.4882377963735894E-3</v>
      </c>
      <c r="AM8" s="62">
        <v>0</v>
      </c>
    </row>
    <row r="9" spans="1:39" x14ac:dyDescent="0.25">
      <c r="B9" s="10">
        <v>7</v>
      </c>
      <c r="C9" s="34">
        <v>0.128</v>
      </c>
      <c r="D9" s="35">
        <v>0.112</v>
      </c>
      <c r="E9" s="35">
        <v>0.40100000000000002</v>
      </c>
      <c r="F9" s="35">
        <v>0.35899999999999999</v>
      </c>
      <c r="G9" s="30">
        <v>260</v>
      </c>
      <c r="H9" s="31">
        <v>1.5</v>
      </c>
      <c r="I9" s="10">
        <v>18000</v>
      </c>
      <c r="J9" s="30">
        <v>160.87635690417002</v>
      </c>
      <c r="K9" s="35">
        <v>0.19669240776396105</v>
      </c>
      <c r="L9" s="34">
        <v>0.14947298241499643</v>
      </c>
      <c r="M9" s="35">
        <v>0.19739220710500713</v>
      </c>
      <c r="N9" s="35">
        <v>0.26520746153595842</v>
      </c>
      <c r="O9" s="35">
        <v>0.23094734465067554</v>
      </c>
      <c r="P9" s="35">
        <v>3.244305289404438E-2</v>
      </c>
      <c r="Q9" s="35">
        <v>0.12453695139931814</v>
      </c>
      <c r="R9" s="34">
        <f t="shared" si="0"/>
        <v>0.34686518952000356</v>
      </c>
      <c r="S9" s="34">
        <v>0.11343062481857417</v>
      </c>
      <c r="T9" s="35">
        <v>5.2880307117971523E-2</v>
      </c>
      <c r="U9" s="35">
        <v>3.7242574178350384E-2</v>
      </c>
      <c r="V9" s="35">
        <v>2.3664465641204058E-2</v>
      </c>
      <c r="W9" s="35">
        <v>1.6056221019652928E-2</v>
      </c>
      <c r="X9" s="35">
        <v>1.1191623937259096E-2</v>
      </c>
      <c r="Y9" s="35">
        <v>8.5983840795786966E-3</v>
      </c>
      <c r="Z9" s="35">
        <v>2.1432607433675972E-3</v>
      </c>
      <c r="AA9" s="35">
        <v>0</v>
      </c>
      <c r="AB9" s="34">
        <v>2.4812820880237493E-2</v>
      </c>
      <c r="AC9" s="35">
        <v>0.11548174760195391</v>
      </c>
      <c r="AD9" s="35">
        <v>5.5818437725018558E-2</v>
      </c>
      <c r="AE9" s="35">
        <v>2.9486035450786069E-2</v>
      </c>
      <c r="AF9" s="35">
        <v>1.3010317838087532E-3</v>
      </c>
      <c r="AG9" s="35">
        <v>1.3269449027878701E-3</v>
      </c>
      <c r="AH9" s="35">
        <v>2.7203263060829011E-3</v>
      </c>
      <c r="AI9" s="34">
        <v>5.9456235517790647E-2</v>
      </c>
      <c r="AJ9" s="35">
        <v>4.3853011501569991E-2</v>
      </c>
      <c r="AK9" s="35">
        <v>1.5373310335332823E-2</v>
      </c>
      <c r="AL9" s="35">
        <v>5.8543940446246848E-3</v>
      </c>
      <c r="AM9" s="62">
        <v>0</v>
      </c>
    </row>
    <row r="10" spans="1:39" x14ac:dyDescent="0.25">
      <c r="A10" s="51"/>
      <c r="B10" s="10">
        <v>8</v>
      </c>
      <c r="C10" s="34">
        <v>0.128</v>
      </c>
      <c r="D10" s="35">
        <v>0.112</v>
      </c>
      <c r="E10" s="35">
        <v>0.40100000000000002</v>
      </c>
      <c r="F10" s="35">
        <v>0.35899999999999999</v>
      </c>
      <c r="G10" s="30">
        <v>240</v>
      </c>
      <c r="H10" s="31">
        <v>3</v>
      </c>
      <c r="I10" s="10">
        <v>24000</v>
      </c>
      <c r="J10" s="30">
        <v>92.817274283028993</v>
      </c>
      <c r="K10" s="35">
        <v>7.235523469077508E-2</v>
      </c>
      <c r="L10" s="34">
        <v>6.3819762439844108E-2</v>
      </c>
      <c r="M10" s="35">
        <v>0.31130508274904961</v>
      </c>
      <c r="N10" s="35">
        <v>0.23929999909936386</v>
      </c>
      <c r="O10" s="35">
        <v>0.15770774937453549</v>
      </c>
      <c r="P10" s="35">
        <v>8.4019266597074704E-2</v>
      </c>
      <c r="Q10" s="35">
        <v>0.14384813974013133</v>
      </c>
      <c r="R10" s="34">
        <f t="shared" si="0"/>
        <v>0.37512484518889372</v>
      </c>
      <c r="S10" s="34">
        <v>0.12145763811201775</v>
      </c>
      <c r="T10" s="35">
        <v>4.7302484208024687E-2</v>
      </c>
      <c r="U10" s="35">
        <v>2.7787341082896627E-2</v>
      </c>
      <c r="V10" s="35">
        <v>1.5274283473395586E-2</v>
      </c>
      <c r="W10" s="35">
        <v>9.3568981875712717E-3</v>
      </c>
      <c r="X10" s="35">
        <v>6.5873029898010872E-3</v>
      </c>
      <c r="Y10" s="35">
        <v>5.362361848345619E-3</v>
      </c>
      <c r="Z10" s="35">
        <v>6.1716891973112378E-3</v>
      </c>
      <c r="AA10" s="35">
        <v>0</v>
      </c>
      <c r="AB10" s="34">
        <v>2.4362003508539256E-2</v>
      </c>
      <c r="AC10" s="35">
        <v>7.9603208149085697E-2</v>
      </c>
      <c r="AD10" s="35">
        <v>3.3123373232843763E-2</v>
      </c>
      <c r="AE10" s="35">
        <v>1.5316559687946778E-2</v>
      </c>
      <c r="AF10" s="35">
        <v>5.3026047961200022E-3</v>
      </c>
      <c r="AG10" s="35">
        <v>0</v>
      </c>
      <c r="AH10" s="35">
        <v>0</v>
      </c>
      <c r="AI10" s="34">
        <v>8.44844982156117E-2</v>
      </c>
      <c r="AJ10" s="35">
        <v>4.7010333636484325E-2</v>
      </c>
      <c r="AK10" s="35">
        <v>8.3469638288893398E-3</v>
      </c>
      <c r="AL10" s="35">
        <v>4.0063440591459609E-3</v>
      </c>
      <c r="AM10" s="62">
        <v>0</v>
      </c>
    </row>
    <row r="11" spans="1:39" x14ac:dyDescent="0.25">
      <c r="A11" s="51"/>
      <c r="B11" s="10">
        <v>9</v>
      </c>
      <c r="C11" s="34">
        <v>0.128</v>
      </c>
      <c r="D11" s="35">
        <v>0.112</v>
      </c>
      <c r="E11" s="35">
        <v>0.40100000000000002</v>
      </c>
      <c r="F11" s="35">
        <v>0.35899999999999999</v>
      </c>
      <c r="G11" s="30">
        <v>270</v>
      </c>
      <c r="H11" s="31">
        <v>3</v>
      </c>
      <c r="I11" s="10">
        <v>27000</v>
      </c>
      <c r="J11" s="30">
        <v>254.40661221607962</v>
      </c>
      <c r="K11" s="35">
        <v>0.40365601103652404</v>
      </c>
      <c r="L11" s="34">
        <v>0.15956109955475506</v>
      </c>
      <c r="M11" s="35">
        <v>0.31094792683369366</v>
      </c>
      <c r="N11" s="35">
        <v>0.29427047333078477</v>
      </c>
      <c r="O11" s="35">
        <v>8.5162014021020346E-2</v>
      </c>
      <c r="P11" s="35">
        <v>5.0129066295500943E-2</v>
      </c>
      <c r="Q11" s="35">
        <v>9.9929419964245453E-2</v>
      </c>
      <c r="R11" s="34">
        <f t="shared" si="0"/>
        <v>0.47050902638844871</v>
      </c>
      <c r="S11" s="34">
        <v>0.14459711636292352</v>
      </c>
      <c r="T11" s="35">
        <v>7.1977642683711651E-2</v>
      </c>
      <c r="U11" s="35">
        <v>3.6926004926390747E-2</v>
      </c>
      <c r="V11" s="35">
        <v>1.9109902286827279E-2</v>
      </c>
      <c r="W11" s="35">
        <v>1.0272076378407909E-2</v>
      </c>
      <c r="X11" s="35">
        <v>6.25171724863882E-3</v>
      </c>
      <c r="Y11" s="35">
        <v>4.1113057795893089E-3</v>
      </c>
      <c r="Z11" s="35">
        <v>1.0247076642955193E-3</v>
      </c>
      <c r="AA11" s="35">
        <v>0</v>
      </c>
      <c r="AB11" s="34">
        <v>7.6391112955126782E-3</v>
      </c>
      <c r="AC11" s="35">
        <v>5.0295264380369076E-2</v>
      </c>
      <c r="AD11" s="35">
        <v>1.7485611819375954E-2</v>
      </c>
      <c r="AE11" s="35">
        <v>7.3870835596895673E-3</v>
      </c>
      <c r="AF11" s="35">
        <v>2.3549429660730632E-3</v>
      </c>
      <c r="AG11" s="35">
        <v>0</v>
      </c>
      <c r="AH11" s="35">
        <v>0</v>
      </c>
      <c r="AI11" s="34">
        <v>5.8281816964191879E-2</v>
      </c>
      <c r="AJ11" s="35">
        <v>3.1732165522962957E-2</v>
      </c>
      <c r="AK11" s="35">
        <v>7.6675204596401815E-3</v>
      </c>
      <c r="AL11" s="35">
        <v>2.2479170174504312E-3</v>
      </c>
      <c r="AM11" s="62">
        <v>0</v>
      </c>
    </row>
    <row r="12" spans="1:39" x14ac:dyDescent="0.25">
      <c r="A12" s="51"/>
      <c r="B12" s="10">
        <v>10</v>
      </c>
      <c r="C12" s="34">
        <v>0.128</v>
      </c>
      <c r="D12" s="35">
        <v>0.112</v>
      </c>
      <c r="E12" s="35">
        <v>0.40100000000000002</v>
      </c>
      <c r="F12" s="35">
        <v>0.35899999999999999</v>
      </c>
      <c r="G12" s="30">
        <v>280</v>
      </c>
      <c r="H12" s="31">
        <v>2.5</v>
      </c>
      <c r="I12" s="10">
        <v>24000</v>
      </c>
      <c r="J12" s="30">
        <v>275.74331831009863</v>
      </c>
      <c r="K12" s="35">
        <v>0.54345733210947222</v>
      </c>
      <c r="L12" s="34">
        <v>0.22392488891853121</v>
      </c>
      <c r="M12" s="35">
        <v>0.27066980398151158</v>
      </c>
      <c r="N12" s="35">
        <v>0.30847939332442731</v>
      </c>
      <c r="O12" s="35">
        <v>8.5797110786465847E-2</v>
      </c>
      <c r="P12" s="35">
        <v>3.1336321553626499E-2</v>
      </c>
      <c r="Q12" s="35">
        <v>7.9792481435437421E-2</v>
      </c>
      <c r="R12" s="34">
        <f t="shared" si="0"/>
        <v>0.49459469290004276</v>
      </c>
      <c r="S12" s="34">
        <v>0.14191689383932246</v>
      </c>
      <c r="T12" s="35">
        <v>8.1086671814254704E-2</v>
      </c>
      <c r="U12" s="35">
        <v>3.6654732652480509E-2</v>
      </c>
      <c r="V12" s="35">
        <v>2.2500585353463009E-2</v>
      </c>
      <c r="W12" s="35">
        <v>1.2023578889294994E-2</v>
      </c>
      <c r="X12" s="35">
        <v>7.1914132985103517E-3</v>
      </c>
      <c r="Y12" s="35">
        <v>4.4724509117289452E-3</v>
      </c>
      <c r="Z12" s="35">
        <v>2.6330665653723135E-3</v>
      </c>
      <c r="AA12" s="35">
        <v>0</v>
      </c>
      <c r="AB12" s="34">
        <v>5.7899855603311158E-3</v>
      </c>
      <c r="AC12" s="35">
        <v>5.1335439225789502E-2</v>
      </c>
      <c r="AD12" s="35">
        <v>1.8428578360467258E-2</v>
      </c>
      <c r="AE12" s="35">
        <v>7.8265619891627908E-3</v>
      </c>
      <c r="AF12" s="35">
        <v>8.8480770204769227E-4</v>
      </c>
      <c r="AG12" s="35">
        <v>8.9753569681761325E-4</v>
      </c>
      <c r="AH12" s="35">
        <v>6.3420225184987553E-4</v>
      </c>
      <c r="AI12" s="34">
        <v>4.3817927723785684E-2</v>
      </c>
      <c r="AJ12" s="35">
        <v>2.7190828438520949E-2</v>
      </c>
      <c r="AK12" s="35">
        <v>6.8272419984270073E-3</v>
      </c>
      <c r="AL12" s="35">
        <v>1.9564832747037764E-3</v>
      </c>
      <c r="AM12" s="62">
        <v>0</v>
      </c>
    </row>
    <row r="13" spans="1:39" x14ac:dyDescent="0.25">
      <c r="A13" s="51"/>
      <c r="B13" s="10">
        <v>11</v>
      </c>
      <c r="C13" s="34">
        <v>8.1680375E-2</v>
      </c>
      <c r="D13" s="35">
        <v>9.9045754999999999E-2</v>
      </c>
      <c r="E13" s="35">
        <v>0.2141827</v>
      </c>
      <c r="F13" s="35">
        <v>0.60509119999999994</v>
      </c>
      <c r="G13" s="30">
        <v>240</v>
      </c>
      <c r="H13" s="31">
        <v>1.5</v>
      </c>
      <c r="I13" s="10">
        <v>27000</v>
      </c>
      <c r="J13" s="30">
        <v>132.56048649418628</v>
      </c>
      <c r="K13" s="35">
        <v>0.13756184108999034</v>
      </c>
      <c r="L13" s="34">
        <v>7.8586063557162689E-2</v>
      </c>
      <c r="M13" s="35">
        <v>0.223694510364945</v>
      </c>
      <c r="N13" s="35">
        <v>0.27307833430538558</v>
      </c>
      <c r="O13" s="35">
        <v>0.20626426669732278</v>
      </c>
      <c r="P13" s="35">
        <v>7.4164594900504768E-2</v>
      </c>
      <c r="Q13" s="35">
        <v>0.14421223017468082</v>
      </c>
      <c r="R13" s="34">
        <f t="shared" si="0"/>
        <v>0.30228057392210772</v>
      </c>
      <c r="S13" s="34">
        <v>0.10585181615056473</v>
      </c>
      <c r="T13" s="35">
        <v>5.8177844156761443E-2</v>
      </c>
      <c r="U13" s="35">
        <v>3.7406757610146543E-2</v>
      </c>
      <c r="V13" s="35">
        <v>2.2658162112913324E-2</v>
      </c>
      <c r="W13" s="35">
        <v>1.6068523324268995E-2</v>
      </c>
      <c r="X13" s="35">
        <v>1.221448505995818E-2</v>
      </c>
      <c r="Y13" s="35">
        <v>8.712205639150386E-3</v>
      </c>
      <c r="Z13" s="35">
        <v>6.8784401017736429E-3</v>
      </c>
      <c r="AA13" s="35">
        <v>5.1101001498483284E-3</v>
      </c>
      <c r="AB13" s="34">
        <v>2.3219945530739226E-2</v>
      </c>
      <c r="AC13" s="35">
        <v>9.4114500836187609E-2</v>
      </c>
      <c r="AD13" s="35">
        <v>4.5451969119030787E-2</v>
      </c>
      <c r="AE13" s="35">
        <v>2.6062048903954419E-2</v>
      </c>
      <c r="AF13" s="35">
        <v>1.0636023012962374E-2</v>
      </c>
      <c r="AG13" s="35">
        <v>4.6789227085388277E-3</v>
      </c>
      <c r="AH13" s="35">
        <v>2.1008565859095222E-3</v>
      </c>
      <c r="AI13" s="34">
        <v>8.9554690765550712E-2</v>
      </c>
      <c r="AJ13" s="35">
        <v>3.0082125488356405E-2</v>
      </c>
      <c r="AK13" s="35">
        <v>1.4128957660450581E-2</v>
      </c>
      <c r="AL13" s="35">
        <v>7.7702669517635938E-3</v>
      </c>
      <c r="AM13" s="62">
        <v>2.6761893085595471E-3</v>
      </c>
    </row>
    <row r="14" spans="1:39" x14ac:dyDescent="0.25">
      <c r="A14" s="51"/>
      <c r="B14" s="10">
        <v>12</v>
      </c>
      <c r="C14" s="34">
        <v>8.1680375E-2</v>
      </c>
      <c r="D14" s="35">
        <v>9.9045754999999999E-2</v>
      </c>
      <c r="E14" s="35">
        <v>0.2141827</v>
      </c>
      <c r="F14" s="35">
        <v>0.60509119999999994</v>
      </c>
      <c r="G14" s="30">
        <v>270</v>
      </c>
      <c r="H14" s="31">
        <v>1.5</v>
      </c>
      <c r="I14" s="10">
        <v>30000</v>
      </c>
      <c r="J14" s="30">
        <v>476.51971975679606</v>
      </c>
      <c r="K14" s="35">
        <v>0.45456656844419152</v>
      </c>
      <c r="L14" s="34">
        <v>0.21859507337278117</v>
      </c>
      <c r="M14" s="35">
        <v>0.20966516226329049</v>
      </c>
      <c r="N14" s="35">
        <v>0.28479745294033426</v>
      </c>
      <c r="O14" s="35">
        <v>0.14879899152548343</v>
      </c>
      <c r="P14" s="35">
        <v>3.7980890211150982E-2</v>
      </c>
      <c r="Q14" s="35">
        <v>0.10016242968695994</v>
      </c>
      <c r="R14" s="34">
        <f t="shared" si="0"/>
        <v>0.42826023563607163</v>
      </c>
      <c r="S14" s="34">
        <v>0.11290026750594677</v>
      </c>
      <c r="T14" s="35">
        <v>6.2342320745974518E-2</v>
      </c>
      <c r="U14" s="35">
        <v>3.9817251781147527E-2</v>
      </c>
      <c r="V14" s="35">
        <v>2.5199472167299224E-2</v>
      </c>
      <c r="W14" s="35">
        <v>1.5496397942957318E-2</v>
      </c>
      <c r="X14" s="35">
        <v>1.1819456986022501E-2</v>
      </c>
      <c r="Y14" s="35">
        <v>8.0164250085018127E-3</v>
      </c>
      <c r="Z14" s="35">
        <v>5.5055735092829541E-3</v>
      </c>
      <c r="AA14" s="35">
        <v>3.7002872932016379E-3</v>
      </c>
      <c r="AB14" s="34">
        <v>9.9844025907533229E-3</v>
      </c>
      <c r="AC14" s="35">
        <v>7.3982725848332098E-2</v>
      </c>
      <c r="AD14" s="35">
        <v>3.3346852006421138E-2</v>
      </c>
      <c r="AE14" s="35">
        <v>1.9302381011584501E-2</v>
      </c>
      <c r="AF14" s="35">
        <v>7.5085737211933005E-3</v>
      </c>
      <c r="AG14" s="35">
        <v>3.1385216407304015E-3</v>
      </c>
      <c r="AH14" s="35">
        <v>1.5355347064687033E-3</v>
      </c>
      <c r="AI14" s="34">
        <v>5.914199641092429E-2</v>
      </c>
      <c r="AJ14" s="35">
        <v>2.7675409790161649E-2</v>
      </c>
      <c r="AK14" s="35">
        <v>8.2177915506603857E-3</v>
      </c>
      <c r="AL14" s="35">
        <v>3.5479511774502248E-3</v>
      </c>
      <c r="AM14" s="62">
        <v>1.5792807577633973E-3</v>
      </c>
    </row>
    <row r="15" spans="1:39" x14ac:dyDescent="0.25">
      <c r="A15" s="51"/>
      <c r="B15" s="10">
        <v>13</v>
      </c>
      <c r="C15" s="34">
        <v>8.1680375E-2</v>
      </c>
      <c r="D15" s="35">
        <v>9.9045754999999999E-2</v>
      </c>
      <c r="E15" s="35">
        <v>0.2141827</v>
      </c>
      <c r="F15" s="35">
        <v>0.60509119999999994</v>
      </c>
      <c r="G15" s="30">
        <v>250</v>
      </c>
      <c r="H15" s="31">
        <v>3</v>
      </c>
      <c r="I15" s="10">
        <v>36000</v>
      </c>
      <c r="J15" s="30">
        <v>385.66753202438537</v>
      </c>
      <c r="K15" s="35">
        <v>0.30258528962558834</v>
      </c>
      <c r="L15" s="34">
        <v>7.7737812715468382E-2</v>
      </c>
      <c r="M15" s="35">
        <v>0.30519405491883911</v>
      </c>
      <c r="N15" s="35">
        <v>0.2804827883781072</v>
      </c>
      <c r="O15" s="35">
        <v>8.1625544691050045E-2</v>
      </c>
      <c r="P15" s="35">
        <v>0.10954790545692225</v>
      </c>
      <c r="Q15" s="35">
        <v>0.14541189383961309</v>
      </c>
      <c r="R15" s="34">
        <f t="shared" si="0"/>
        <v>0.38293186763430748</v>
      </c>
      <c r="S15" s="34">
        <v>0.133929690768538</v>
      </c>
      <c r="T15" s="35">
        <v>6.9266631485345412E-2</v>
      </c>
      <c r="U15" s="35">
        <v>3.4247672380626509E-2</v>
      </c>
      <c r="V15" s="35">
        <v>1.7421880668671581E-2</v>
      </c>
      <c r="W15" s="35">
        <v>9.692655597572767E-3</v>
      </c>
      <c r="X15" s="35">
        <v>6.6133120521607667E-3</v>
      </c>
      <c r="Y15" s="35">
        <v>4.092630510741469E-3</v>
      </c>
      <c r="Z15" s="35">
        <v>3.0711505906734033E-3</v>
      </c>
      <c r="AA15" s="35">
        <v>2.1471643237772403E-3</v>
      </c>
      <c r="AB15" s="34">
        <v>6.576409493411455E-3</v>
      </c>
      <c r="AC15" s="35">
        <v>4.5694930361164163E-2</v>
      </c>
      <c r="AD15" s="35">
        <v>1.6727508984204682E-2</v>
      </c>
      <c r="AE15" s="35">
        <v>8.7215401757210678E-3</v>
      </c>
      <c r="AF15" s="35">
        <v>2.9987956900523298E-3</v>
      </c>
      <c r="AG15" s="35">
        <v>9.0635998649634905E-4</v>
      </c>
      <c r="AH15" s="35">
        <v>0</v>
      </c>
      <c r="AI15" s="34">
        <v>9.8073693190578626E-2</v>
      </c>
      <c r="AJ15" s="35">
        <v>3.3768979823384573E-2</v>
      </c>
      <c r="AK15" s="35">
        <v>8.0899358874388146E-3</v>
      </c>
      <c r="AL15" s="35">
        <v>4.0406412265803545E-3</v>
      </c>
      <c r="AM15" s="62">
        <v>1.438643711630757E-3</v>
      </c>
    </row>
    <row r="16" spans="1:39" x14ac:dyDescent="0.25">
      <c r="A16" s="51"/>
      <c r="B16" s="10">
        <v>14</v>
      </c>
      <c r="C16" s="34">
        <v>8.1680375E-2</v>
      </c>
      <c r="D16" s="35">
        <v>9.9045754999999999E-2</v>
      </c>
      <c r="E16" s="35">
        <v>0.2141827</v>
      </c>
      <c r="F16" s="35">
        <v>0.60509119999999994</v>
      </c>
      <c r="G16" s="30">
        <v>260</v>
      </c>
      <c r="H16" s="31">
        <v>3</v>
      </c>
      <c r="I16" s="10">
        <v>18000</v>
      </c>
      <c r="J16" s="30">
        <v>321.38835206596582</v>
      </c>
      <c r="K16" s="35">
        <v>0.7027895592882194</v>
      </c>
      <c r="L16" s="34">
        <v>0.18237026696505509</v>
      </c>
      <c r="M16" s="35">
        <v>0.27744868244363646</v>
      </c>
      <c r="N16" s="35">
        <v>0.31742146443701025</v>
      </c>
      <c r="O16" s="35">
        <v>5.5237868809318906E-2</v>
      </c>
      <c r="P16" s="35">
        <v>5.8294927638327915E-2</v>
      </c>
      <c r="Q16" s="35">
        <v>0.10922678970665127</v>
      </c>
      <c r="R16" s="34">
        <f t="shared" si="0"/>
        <v>0.45981894940869156</v>
      </c>
      <c r="S16" s="34">
        <v>0.13499571942826813</v>
      </c>
      <c r="T16" s="35">
        <v>8.7717689146058916E-2</v>
      </c>
      <c r="U16" s="35">
        <v>4.2147292037924715E-2</v>
      </c>
      <c r="V16" s="35">
        <v>2.1870643215225336E-2</v>
      </c>
      <c r="W16" s="35">
        <v>1.1712202984569339E-2</v>
      </c>
      <c r="X16" s="35">
        <v>8.0092724565741791E-3</v>
      </c>
      <c r="Y16" s="35">
        <v>5.065766786136643E-3</v>
      </c>
      <c r="Z16" s="35">
        <v>3.5150400512762212E-3</v>
      </c>
      <c r="AA16" s="35">
        <v>2.3878383309767579E-3</v>
      </c>
      <c r="AB16" s="34">
        <v>2.8719796524910015E-3</v>
      </c>
      <c r="AC16" s="35">
        <v>3.0796776669924336E-2</v>
      </c>
      <c r="AD16" s="35">
        <v>1.165200637873511E-2</v>
      </c>
      <c r="AE16" s="35">
        <v>6.3877157950231727E-3</v>
      </c>
      <c r="AF16" s="35">
        <v>2.5864773948556458E-3</v>
      </c>
      <c r="AG16" s="35">
        <v>6.2098067891636305E-4</v>
      </c>
      <c r="AH16" s="35">
        <v>3.2193223937327254E-4</v>
      </c>
      <c r="AI16" s="34">
        <v>6.8412106950093587E-2</v>
      </c>
      <c r="AJ16" s="35">
        <v>2.8824930706161198E-2</v>
      </c>
      <c r="AK16" s="35">
        <v>8.2079281094655579E-3</v>
      </c>
      <c r="AL16" s="35">
        <v>2.7148219926225693E-3</v>
      </c>
      <c r="AM16" s="62">
        <v>1.0670019483083404E-3</v>
      </c>
    </row>
    <row r="17" spans="1:39" x14ac:dyDescent="0.25">
      <c r="A17" s="51"/>
      <c r="B17" s="10">
        <v>15</v>
      </c>
      <c r="C17" s="34">
        <v>8.1680375E-2</v>
      </c>
      <c r="D17" s="35">
        <v>9.9045754999999999E-2</v>
      </c>
      <c r="E17" s="35">
        <v>0.2141827</v>
      </c>
      <c r="F17" s="35">
        <v>0.60509119999999994</v>
      </c>
      <c r="G17" s="30">
        <v>280</v>
      </c>
      <c r="H17" s="31">
        <v>2.5</v>
      </c>
      <c r="I17" s="10">
        <v>24000</v>
      </c>
      <c r="J17" s="30">
        <v>341.09542736285482</v>
      </c>
      <c r="K17" s="35">
        <v>0.94010854155469781</v>
      </c>
      <c r="L17" s="34">
        <v>0.27604661040852446</v>
      </c>
      <c r="M17" s="35">
        <v>0.25413064461867946</v>
      </c>
      <c r="N17" s="35">
        <v>0.34300638886041285</v>
      </c>
      <c r="O17" s="35">
        <v>4.7397412281359283E-2</v>
      </c>
      <c r="P17" s="35">
        <v>2.2278371960540194E-2</v>
      </c>
      <c r="Q17" s="35">
        <v>5.714057187048404E-2</v>
      </c>
      <c r="R17" s="34">
        <f t="shared" si="0"/>
        <v>0.53017725502720392</v>
      </c>
      <c r="S17" s="34">
        <v>0.12855603665891857</v>
      </c>
      <c r="T17" s="35">
        <v>9.9797154530365473E-2</v>
      </c>
      <c r="U17" s="35">
        <v>5.0082461200383128E-2</v>
      </c>
      <c r="V17" s="35">
        <v>2.7827460390205359E-2</v>
      </c>
      <c r="W17" s="35">
        <v>1.4423682045577943E-2</v>
      </c>
      <c r="X17" s="35">
        <v>9.8620723231721916E-3</v>
      </c>
      <c r="Y17" s="35">
        <v>6.153446664128071E-3</v>
      </c>
      <c r="Z17" s="35">
        <v>3.9488765067154704E-3</v>
      </c>
      <c r="AA17" s="35">
        <v>2.355198540946605E-3</v>
      </c>
      <c r="AB17" s="34">
        <v>1.4549295167222539E-3</v>
      </c>
      <c r="AC17" s="35">
        <v>2.5063353551725467E-2</v>
      </c>
      <c r="AD17" s="35">
        <v>1.0799400362602501E-2</v>
      </c>
      <c r="AE17" s="35">
        <v>6.2851140920338298E-3</v>
      </c>
      <c r="AF17" s="35">
        <v>2.542262590001676E-3</v>
      </c>
      <c r="AG17" s="35">
        <v>7.7238523764790851E-4</v>
      </c>
      <c r="AH17" s="35">
        <v>4.7996693062565452E-4</v>
      </c>
      <c r="AI17" s="34">
        <v>3.6408249947638416E-2</v>
      </c>
      <c r="AJ17" s="35">
        <v>1.4758619600173686E-2</v>
      </c>
      <c r="AK17" s="35">
        <v>4.0739675769117245E-3</v>
      </c>
      <c r="AL17" s="35">
        <v>1.4079571662733816E-3</v>
      </c>
      <c r="AM17" s="62">
        <v>4.9177757948683026E-4</v>
      </c>
    </row>
    <row r="18" spans="1:39" x14ac:dyDescent="0.25">
      <c r="B18" s="10">
        <v>16</v>
      </c>
      <c r="C18" s="34">
        <v>9.4251070000000006E-2</v>
      </c>
      <c r="D18" s="35">
        <v>0.10231284500000001</v>
      </c>
      <c r="E18" s="35">
        <v>0.11668064999999998</v>
      </c>
      <c r="F18" s="35">
        <v>0.68675549999999985</v>
      </c>
      <c r="G18" s="30">
        <v>240</v>
      </c>
      <c r="H18" s="31">
        <v>1.5</v>
      </c>
      <c r="I18" s="10">
        <v>36000</v>
      </c>
      <c r="J18" s="30">
        <v>156.09537738110262</v>
      </c>
      <c r="K18" s="35">
        <v>0.10648049741095995</v>
      </c>
      <c r="L18" s="34">
        <v>8.3886486762583062E-2</v>
      </c>
      <c r="M18" s="35">
        <v>0.24191257204900338</v>
      </c>
      <c r="N18" s="35">
        <v>0.24717253921736415</v>
      </c>
      <c r="O18" s="35">
        <v>0.17953176025113107</v>
      </c>
      <c r="P18" s="35">
        <v>9.9934721543403535E-2</v>
      </c>
      <c r="Q18" s="35">
        <v>0.14756192017651809</v>
      </c>
      <c r="R18" s="34">
        <f t="shared" si="0"/>
        <v>0.32579905881158644</v>
      </c>
      <c r="S18" s="34">
        <v>9.8224933700297667E-2</v>
      </c>
      <c r="T18" s="35">
        <v>5.0701708756090674E-2</v>
      </c>
      <c r="U18" s="35">
        <v>3.4525190572294522E-2</v>
      </c>
      <c r="V18" s="35">
        <v>2.0526950302941084E-2</v>
      </c>
      <c r="W18" s="35">
        <v>1.41697403076128E-2</v>
      </c>
      <c r="X18" s="35">
        <v>1.0688315095963814E-2</v>
      </c>
      <c r="Y18" s="35">
        <v>7.5507498295405602E-3</v>
      </c>
      <c r="Z18" s="35">
        <v>6.1717402150130336E-3</v>
      </c>
      <c r="AA18" s="35">
        <v>4.6132104376099513E-3</v>
      </c>
      <c r="AB18" s="34">
        <v>2.3469516584257253E-2</v>
      </c>
      <c r="AC18" s="35">
        <v>8.0791488237551862E-2</v>
      </c>
      <c r="AD18" s="35">
        <v>3.8782276918194379E-2</v>
      </c>
      <c r="AE18" s="35">
        <v>2.3025459493735356E-2</v>
      </c>
      <c r="AF18" s="35">
        <v>9.0005572781684667E-3</v>
      </c>
      <c r="AG18" s="35">
        <v>4.4624617392237283E-3</v>
      </c>
      <c r="AH18" s="35">
        <v>0</v>
      </c>
      <c r="AI18" s="34">
        <v>9.6031600719649682E-2</v>
      </c>
      <c r="AJ18" s="35">
        <v>2.735211846757199E-2</v>
      </c>
      <c r="AK18" s="35">
        <v>1.3874418922823969E-2</v>
      </c>
      <c r="AL18" s="35">
        <v>7.4567184726825634E-3</v>
      </c>
      <c r="AM18" s="62">
        <v>2.8470635937898822E-3</v>
      </c>
    </row>
    <row r="19" spans="1:39" x14ac:dyDescent="0.25">
      <c r="B19" s="10">
        <v>17</v>
      </c>
      <c r="C19" s="34">
        <v>9.4251070000000006E-2</v>
      </c>
      <c r="D19" s="35">
        <v>0.10231284500000001</v>
      </c>
      <c r="E19" s="35">
        <v>0.11668064999999998</v>
      </c>
      <c r="F19" s="35">
        <v>0.68675549999999985</v>
      </c>
      <c r="G19" s="30">
        <v>270</v>
      </c>
      <c r="H19" s="31">
        <v>1.5</v>
      </c>
      <c r="I19" s="10">
        <v>27000</v>
      </c>
      <c r="J19" s="30">
        <v>391.95821359140069</v>
      </c>
      <c r="K19" s="35">
        <v>0.36002661878673925</v>
      </c>
      <c r="L19" s="34">
        <v>0.21953258990211522</v>
      </c>
      <c r="M19" s="35">
        <v>0.20188108642661001</v>
      </c>
      <c r="N19" s="35">
        <v>0.26902004566210919</v>
      </c>
      <c r="O19" s="35">
        <v>0.14937136694433198</v>
      </c>
      <c r="P19" s="35">
        <v>4.6422359550708711E-2</v>
      </c>
      <c r="Q19" s="35">
        <v>0.11377255151412467</v>
      </c>
      <c r="R19" s="34">
        <f t="shared" si="0"/>
        <v>0.42141367632872523</v>
      </c>
      <c r="S19" s="34">
        <v>0.10256551675617376</v>
      </c>
      <c r="T19" s="35">
        <v>5.5992302696424565E-2</v>
      </c>
      <c r="U19" s="35">
        <v>3.8915575859347518E-2</v>
      </c>
      <c r="V19" s="35">
        <v>2.4780131653484219E-2</v>
      </c>
      <c r="W19" s="35">
        <v>1.5672363482007873E-2</v>
      </c>
      <c r="X19" s="35">
        <v>1.2358910920800362E-2</v>
      </c>
      <c r="Y19" s="35">
        <v>8.5747888770175158E-3</v>
      </c>
      <c r="Z19" s="35">
        <v>6.1257048111458563E-3</v>
      </c>
      <c r="AA19" s="35">
        <v>4.0347506057074531E-3</v>
      </c>
      <c r="AB19" s="34">
        <v>1.1699578927673608E-2</v>
      </c>
      <c r="AC19" s="35">
        <v>7.186100611012268E-2</v>
      </c>
      <c r="AD19" s="35">
        <v>3.3579187318704636E-2</v>
      </c>
      <c r="AE19" s="35">
        <v>1.9700932457385009E-2</v>
      </c>
      <c r="AF19" s="35">
        <v>7.4162480066597442E-3</v>
      </c>
      <c r="AG19" s="35">
        <v>3.3939468250560405E-3</v>
      </c>
      <c r="AH19" s="35">
        <v>1.7204672987302756E-3</v>
      </c>
      <c r="AI19" s="34">
        <v>6.8976895551987147E-2</v>
      </c>
      <c r="AJ19" s="35">
        <v>2.9564506662759171E-2</v>
      </c>
      <c r="AK19" s="35">
        <v>8.586798228195365E-3</v>
      </c>
      <c r="AL19" s="35">
        <v>4.6687947821015532E-3</v>
      </c>
      <c r="AM19" s="62">
        <v>1.9755562890814296E-3</v>
      </c>
    </row>
    <row r="20" spans="1:39" x14ac:dyDescent="0.25">
      <c r="B20" s="10">
        <v>18</v>
      </c>
      <c r="C20" s="34">
        <v>9.4251070000000006E-2</v>
      </c>
      <c r="D20" s="35">
        <v>0.10231284500000001</v>
      </c>
      <c r="E20" s="35">
        <v>0.11668064999999998</v>
      </c>
      <c r="F20" s="35">
        <v>0.68675549999999985</v>
      </c>
      <c r="G20" s="30">
        <v>250</v>
      </c>
      <c r="H20" s="31">
        <v>3</v>
      </c>
      <c r="I20" s="10">
        <v>18000</v>
      </c>
      <c r="J20" s="30">
        <v>231.7349716603517</v>
      </c>
      <c r="K20" s="35">
        <v>0.40185228719477689</v>
      </c>
      <c r="L20" s="34">
        <v>0.14495295528448521</v>
      </c>
      <c r="M20" s="35">
        <v>0.25750281961744415</v>
      </c>
      <c r="N20" s="35">
        <v>0.28606574019603981</v>
      </c>
      <c r="O20" s="35">
        <v>8.2630918389950389E-2</v>
      </c>
      <c r="P20" s="35">
        <v>8.8702869072196405E-2</v>
      </c>
      <c r="Q20" s="35">
        <v>0.14014469743988406</v>
      </c>
      <c r="R20" s="34">
        <f t="shared" si="0"/>
        <v>0.40245577490192935</v>
      </c>
      <c r="S20" s="34">
        <v>0.11937115013278234</v>
      </c>
      <c r="T20" s="35">
        <v>6.9667143567161346E-2</v>
      </c>
      <c r="U20" s="35">
        <v>4.0070337544103954E-2</v>
      </c>
      <c r="V20" s="35">
        <v>2.2558888950350801E-2</v>
      </c>
      <c r="W20" s="35">
        <v>1.3120167396951161E-2</v>
      </c>
      <c r="X20" s="35">
        <v>8.927815159043246E-3</v>
      </c>
      <c r="Y20" s="35">
        <v>5.703102712743921E-3</v>
      </c>
      <c r="Z20" s="35">
        <v>4.0379235062172579E-3</v>
      </c>
      <c r="AA20" s="35">
        <v>2.6092112266858231E-3</v>
      </c>
      <c r="AB20" s="34">
        <v>5.4786754256862663E-3</v>
      </c>
      <c r="AC20" s="35">
        <v>4.5946529025542762E-2</v>
      </c>
      <c r="AD20" s="35">
        <v>1.7328730406633956E-2</v>
      </c>
      <c r="AE20" s="35">
        <v>9.5595606487374387E-3</v>
      </c>
      <c r="AF20" s="35">
        <v>3.1806386920325579E-3</v>
      </c>
      <c r="AG20" s="35">
        <v>1.1367841913174036E-3</v>
      </c>
      <c r="AH20" s="35">
        <v>0</v>
      </c>
      <c r="AI20" s="34">
        <v>9.0710881038327695E-2</v>
      </c>
      <c r="AJ20" s="35">
        <v>3.6227682498472032E-2</v>
      </c>
      <c r="AK20" s="35">
        <v>7.0370909789319929E-3</v>
      </c>
      <c r="AL20" s="35">
        <v>4.555760428047252E-3</v>
      </c>
      <c r="AM20" s="62">
        <v>1.613282496105089E-3</v>
      </c>
    </row>
    <row r="21" spans="1:39" x14ac:dyDescent="0.25">
      <c r="B21" s="10">
        <v>19</v>
      </c>
      <c r="C21" s="34">
        <v>9.4251070000000006E-2</v>
      </c>
      <c r="D21" s="35">
        <v>0.10231284500000001</v>
      </c>
      <c r="E21" s="35">
        <v>0.11668064999999998</v>
      </c>
      <c r="F21" s="35">
        <v>0.68675549999999985</v>
      </c>
      <c r="G21" s="30">
        <v>260</v>
      </c>
      <c r="H21" s="31">
        <v>3</v>
      </c>
      <c r="I21" s="10">
        <v>30000</v>
      </c>
      <c r="J21" s="30">
        <v>372.7199124451185</v>
      </c>
      <c r="K21" s="35">
        <v>0.41863408545597086</v>
      </c>
      <c r="L21" s="34">
        <v>0.14501763240101323</v>
      </c>
      <c r="M21" s="35">
        <v>0.27545465620324733</v>
      </c>
      <c r="N21" s="35">
        <v>0.28059188872187224</v>
      </c>
      <c r="O21" s="35">
        <v>8.1096780483652806E-2</v>
      </c>
      <c r="P21" s="35">
        <v>8.9344553751507572E-2</v>
      </c>
      <c r="Q21" s="35">
        <v>0.12849448843870634</v>
      </c>
      <c r="R21" s="34">
        <f t="shared" si="0"/>
        <v>0.42047228860426056</v>
      </c>
      <c r="S21" s="34">
        <v>0.1186189304516666</v>
      </c>
      <c r="T21" s="35">
        <v>6.842746792031959E-2</v>
      </c>
      <c r="U21" s="35">
        <v>3.9322117434230128E-2</v>
      </c>
      <c r="V21" s="35">
        <v>2.2104295485439261E-2</v>
      </c>
      <c r="W21" s="35">
        <v>1.2188474895464799E-2</v>
      </c>
      <c r="X21" s="35">
        <v>8.4449518159347547E-3</v>
      </c>
      <c r="Y21" s="35">
        <v>5.4105542563728905E-3</v>
      </c>
      <c r="Z21" s="35">
        <v>3.7546393015455769E-3</v>
      </c>
      <c r="AA21" s="35">
        <v>2.3204571608986852E-3</v>
      </c>
      <c r="AB21" s="34">
        <v>5.5805032113101531E-3</v>
      </c>
      <c r="AC21" s="35">
        <v>4.5428917968956213E-2</v>
      </c>
      <c r="AD21" s="35">
        <v>1.7043762433428134E-2</v>
      </c>
      <c r="AE21" s="35">
        <v>9.5423055769394381E-3</v>
      </c>
      <c r="AF21" s="35">
        <v>2.4748067408550765E-3</v>
      </c>
      <c r="AG21" s="35">
        <v>1.0264845521637798E-3</v>
      </c>
      <c r="AH21" s="35">
        <v>0</v>
      </c>
      <c r="AI21" s="34">
        <v>8.5433642473798588E-2</v>
      </c>
      <c r="AJ21" s="35">
        <v>3.1993485853275112E-2</v>
      </c>
      <c r="AK21" s="35">
        <v>5.9389190999863091E-3</v>
      </c>
      <c r="AL21" s="35">
        <v>3.7970834970060706E-3</v>
      </c>
      <c r="AM21" s="62">
        <v>1.3313575146402606E-3</v>
      </c>
    </row>
    <row r="22" spans="1:39" x14ac:dyDescent="0.25">
      <c r="A22" s="15"/>
      <c r="B22" s="15">
        <v>20</v>
      </c>
      <c r="C22" s="46">
        <v>9.4251070000000006E-2</v>
      </c>
      <c r="D22" s="47">
        <v>0.10231284500000001</v>
      </c>
      <c r="E22" s="47">
        <v>0.11668064999999998</v>
      </c>
      <c r="F22" s="47">
        <v>0.68675549999999985</v>
      </c>
      <c r="G22" s="42">
        <v>280</v>
      </c>
      <c r="H22" s="43">
        <v>2.5</v>
      </c>
      <c r="I22" s="15">
        <v>24000</v>
      </c>
      <c r="J22" s="42">
        <v>388.52402547987498</v>
      </c>
      <c r="K22" s="47">
        <v>0.79949701997883305</v>
      </c>
      <c r="L22" s="46">
        <v>0.2929338617019106</v>
      </c>
      <c r="M22" s="47">
        <v>0.22599481627406826</v>
      </c>
      <c r="N22" s="47">
        <v>0.309552383976479</v>
      </c>
      <c r="O22" s="47">
        <v>6.1684418794797587E-2</v>
      </c>
      <c r="P22" s="47">
        <v>3.5418065860893723E-2</v>
      </c>
      <c r="Q22" s="47">
        <v>7.4416453391851101E-2</v>
      </c>
      <c r="R22" s="53">
        <f t="shared" si="0"/>
        <v>0.51892867797597886</v>
      </c>
      <c r="S22" s="46">
        <v>0.10906300166293348</v>
      </c>
      <c r="T22" s="47">
        <v>8.2071381455791736E-2</v>
      </c>
      <c r="U22" s="47">
        <v>4.8096096640061106E-2</v>
      </c>
      <c r="V22" s="47">
        <v>2.9171078584291809E-2</v>
      </c>
      <c r="W22" s="47">
        <v>1.5660367429601751E-2</v>
      </c>
      <c r="X22" s="47">
        <v>1.1132051995441967E-2</v>
      </c>
      <c r="Y22" s="47">
        <v>7.086761125362228E-3</v>
      </c>
      <c r="Z22" s="47">
        <v>4.6389906519203076E-3</v>
      </c>
      <c r="AA22" s="47">
        <v>2.6326544310746255E-3</v>
      </c>
      <c r="AB22" s="46">
        <v>2.5942072398136861E-3</v>
      </c>
      <c r="AC22" s="47">
        <v>3.4004936630459781E-2</v>
      </c>
      <c r="AD22" s="47">
        <v>1.321689472048411E-2</v>
      </c>
      <c r="AE22" s="47">
        <v>7.5703054714110363E-3</v>
      </c>
      <c r="AF22" s="47">
        <v>2.5220889607790566E-3</v>
      </c>
      <c r="AG22" s="47">
        <v>1.0943317091525473E-3</v>
      </c>
      <c r="AH22" s="47">
        <v>6.8165406269736874E-4</v>
      </c>
      <c r="AI22" s="46">
        <v>4.7890316535700916E-2</v>
      </c>
      <c r="AJ22" s="47">
        <v>1.8415137304675085E-2</v>
      </c>
      <c r="AK22" s="47">
        <v>5.3835270851837185E-3</v>
      </c>
      <c r="AL22" s="47">
        <v>1.9938142158252522E-3</v>
      </c>
      <c r="AM22" s="63">
        <v>7.3365825046612005E-4</v>
      </c>
    </row>
    <row r="28" spans="1:39" x14ac:dyDescent="0.25">
      <c r="O28" s="64"/>
    </row>
    <row r="29" spans="1:39" x14ac:dyDescent="0.25">
      <c r="O29" s="64"/>
    </row>
    <row r="30" spans="1:39" x14ac:dyDescent="0.25">
      <c r="O30" s="64"/>
    </row>
    <row r="31" spans="1:39" x14ac:dyDescent="0.25">
      <c r="O31" s="64"/>
    </row>
    <row r="32" spans="1:39" x14ac:dyDescent="0.25">
      <c r="O32" s="64"/>
    </row>
    <row r="33" spans="15:15" x14ac:dyDescent="0.25">
      <c r="O33" s="64"/>
    </row>
    <row r="34" spans="15:15" x14ac:dyDescent="0.25">
      <c r="O34" s="64"/>
    </row>
    <row r="35" spans="15:15" x14ac:dyDescent="0.25">
      <c r="O35" s="64"/>
    </row>
    <row r="36" spans="15:15" x14ac:dyDescent="0.25">
      <c r="O36" s="64"/>
    </row>
    <row r="37" spans="15:15" x14ac:dyDescent="0.25">
      <c r="O37" s="64"/>
    </row>
    <row r="38" spans="15:15" x14ac:dyDescent="0.25">
      <c r="O38" s="64"/>
    </row>
    <row r="39" spans="15:15" x14ac:dyDescent="0.25">
      <c r="O39" s="64"/>
    </row>
    <row r="40" spans="15:15" x14ac:dyDescent="0.25">
      <c r="O40" s="64"/>
    </row>
    <row r="41" spans="15:15" x14ac:dyDescent="0.25">
      <c r="O41" s="64"/>
    </row>
    <row r="42" spans="15:15" x14ac:dyDescent="0.25">
      <c r="O42" s="64"/>
    </row>
    <row r="43" spans="15:15" x14ac:dyDescent="0.25">
      <c r="O43" s="64"/>
    </row>
    <row r="44" spans="15:15" x14ac:dyDescent="0.25">
      <c r="O44" s="64"/>
    </row>
    <row r="45" spans="15:15" x14ac:dyDescent="0.25">
      <c r="O45" s="64"/>
    </row>
    <row r="46" spans="15:15" x14ac:dyDescent="0.25">
      <c r="O46" s="64"/>
    </row>
    <row r="47" spans="15:15" x14ac:dyDescent="0.25">
      <c r="O47" s="64"/>
    </row>
  </sheetData>
  <mergeCells count="8">
    <mergeCell ref="B1:B2"/>
    <mergeCell ref="S1:AA1"/>
    <mergeCell ref="AB1:AH1"/>
    <mergeCell ref="AI1:AM1"/>
    <mergeCell ref="L1:Q1"/>
    <mergeCell ref="C1:F1"/>
    <mergeCell ref="G1:I1"/>
    <mergeCell ref="J1:K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38"/>
  <sheetViews>
    <sheetView zoomScale="70" zoomScaleNormal="70" workbookViewId="0">
      <pane ySplit="2" topLeftCell="A3" activePane="bottomLeft" state="frozen"/>
      <selection pane="bottomLeft"/>
    </sheetView>
  </sheetViews>
  <sheetFormatPr defaultColWidth="9.140625" defaultRowHeight="15.75" x14ac:dyDescent="0.25"/>
  <cols>
    <col min="1" max="2" width="9.140625" style="10"/>
    <col min="3" max="3" width="9.140625" style="65"/>
    <col min="4" max="6" width="9.140625" style="10"/>
    <col min="7" max="7" width="9.140625" style="65"/>
    <col min="8" max="8" width="9.140625" style="10"/>
    <col min="9" max="9" width="20.28515625" style="10" customWidth="1"/>
    <col min="10" max="10" width="20" style="72" bestFit="1" customWidth="1"/>
    <col min="11" max="11" width="14" style="72" bestFit="1" customWidth="1"/>
    <col min="12" max="12" width="9.140625" style="65"/>
    <col min="13" max="15" width="9.140625" style="10"/>
    <col min="16" max="16" width="9.140625" style="65"/>
    <col min="17" max="17" width="9.140625" style="10"/>
    <col min="18" max="18" width="20.28515625" style="10" customWidth="1"/>
    <col min="19" max="19" width="20" style="30" bestFit="1" customWidth="1"/>
    <col min="20" max="20" width="15.28515625" style="10" bestFit="1" customWidth="1"/>
    <col min="21" max="21" width="9.140625" style="65"/>
    <col min="22" max="26" width="9.140625" style="10"/>
    <col min="27" max="28" width="9.140625" style="65"/>
    <col min="29" max="36" width="9.140625" style="10"/>
    <col min="37" max="37" width="9.140625" style="65"/>
    <col min="38" max="43" width="9.140625" style="10"/>
    <col min="44" max="44" width="9.140625" style="65"/>
    <col min="45" max="47" width="9.140625" style="10"/>
    <col min="48" max="48" width="9.140625" style="71"/>
    <col min="49" max="16384" width="9.140625" style="10"/>
  </cols>
  <sheetData>
    <row r="1" spans="1:48" x14ac:dyDescent="0.25">
      <c r="B1" s="84" t="s">
        <v>11</v>
      </c>
      <c r="C1" s="99" t="s">
        <v>39</v>
      </c>
      <c r="D1" s="100"/>
      <c r="E1" s="100"/>
      <c r="F1" s="100"/>
      <c r="G1" s="99" t="s">
        <v>50</v>
      </c>
      <c r="H1" s="100"/>
      <c r="I1" s="100"/>
      <c r="J1" s="66" t="s">
        <v>36</v>
      </c>
      <c r="K1" s="101" t="s">
        <v>40</v>
      </c>
      <c r="L1" s="91" t="s">
        <v>19</v>
      </c>
      <c r="M1" s="92"/>
      <c r="N1" s="92"/>
      <c r="O1" s="92"/>
      <c r="P1" s="91" t="s">
        <v>32</v>
      </c>
      <c r="Q1" s="92"/>
      <c r="R1" s="92"/>
      <c r="S1" s="88" t="s">
        <v>37</v>
      </c>
      <c r="T1" s="89"/>
      <c r="U1" s="88" t="s">
        <v>38</v>
      </c>
      <c r="V1" s="90"/>
      <c r="W1" s="90"/>
      <c r="X1" s="90"/>
      <c r="Y1" s="90"/>
      <c r="Z1" s="90"/>
      <c r="AA1" s="70" t="s">
        <v>30</v>
      </c>
      <c r="AB1" s="93" t="s">
        <v>6</v>
      </c>
      <c r="AC1" s="94"/>
      <c r="AD1" s="94"/>
      <c r="AE1" s="94"/>
      <c r="AF1" s="94"/>
      <c r="AG1" s="94"/>
      <c r="AH1" s="94"/>
      <c r="AI1" s="94"/>
      <c r="AJ1" s="107"/>
      <c r="AK1" s="95" t="s">
        <v>5</v>
      </c>
      <c r="AL1" s="96"/>
      <c r="AM1" s="96"/>
      <c r="AN1" s="96"/>
      <c r="AO1" s="96"/>
      <c r="AP1" s="96"/>
      <c r="AQ1" s="96"/>
      <c r="AR1" s="86" t="s">
        <v>8</v>
      </c>
      <c r="AS1" s="87"/>
      <c r="AT1" s="87"/>
      <c r="AU1" s="87"/>
      <c r="AV1" s="87"/>
    </row>
    <row r="2" spans="1:48" ht="18.75" x14ac:dyDescent="0.25">
      <c r="A2" s="15"/>
      <c r="B2" s="85"/>
      <c r="C2" s="67" t="s">
        <v>0</v>
      </c>
      <c r="D2" s="68" t="s">
        <v>1</v>
      </c>
      <c r="E2" s="68" t="s">
        <v>2</v>
      </c>
      <c r="F2" s="68" t="s">
        <v>3</v>
      </c>
      <c r="G2" s="67" t="s">
        <v>4</v>
      </c>
      <c r="H2" s="68" t="s">
        <v>33</v>
      </c>
      <c r="I2" s="68" t="s">
        <v>31</v>
      </c>
      <c r="J2" s="82" t="s">
        <v>20</v>
      </c>
      <c r="K2" s="102"/>
      <c r="L2" s="16" t="s">
        <v>0</v>
      </c>
      <c r="M2" s="17" t="s">
        <v>1</v>
      </c>
      <c r="N2" s="17" t="s">
        <v>2</v>
      </c>
      <c r="O2" s="17" t="s">
        <v>3</v>
      </c>
      <c r="P2" s="16" t="s">
        <v>4</v>
      </c>
      <c r="Q2" s="17" t="s">
        <v>33</v>
      </c>
      <c r="R2" s="17" t="s">
        <v>31</v>
      </c>
      <c r="S2" s="18" t="s">
        <v>20</v>
      </c>
      <c r="T2" s="19" t="s">
        <v>29</v>
      </c>
      <c r="U2" s="20" t="s">
        <v>34</v>
      </c>
      <c r="V2" s="21" t="s">
        <v>35</v>
      </c>
      <c r="W2" s="12" t="s">
        <v>6</v>
      </c>
      <c r="X2" s="13" t="s">
        <v>5</v>
      </c>
      <c r="Y2" s="22" t="s">
        <v>7</v>
      </c>
      <c r="Z2" s="14" t="s">
        <v>8</v>
      </c>
      <c r="AA2" s="23" t="s">
        <v>9</v>
      </c>
      <c r="AB2" s="24" t="s">
        <v>21</v>
      </c>
      <c r="AC2" s="25" t="s">
        <v>22</v>
      </c>
      <c r="AD2" s="25" t="s">
        <v>23</v>
      </c>
      <c r="AE2" s="25" t="s">
        <v>24</v>
      </c>
      <c r="AF2" s="25" t="s">
        <v>25</v>
      </c>
      <c r="AG2" s="25" t="s">
        <v>26</v>
      </c>
      <c r="AH2" s="25" t="s">
        <v>27</v>
      </c>
      <c r="AI2" s="25" t="s">
        <v>28</v>
      </c>
      <c r="AJ2" s="25" t="s">
        <v>48</v>
      </c>
      <c r="AK2" s="24" t="s">
        <v>21</v>
      </c>
      <c r="AL2" s="25" t="s">
        <v>22</v>
      </c>
      <c r="AM2" s="25" t="s">
        <v>23</v>
      </c>
      <c r="AN2" s="25" t="s">
        <v>24</v>
      </c>
      <c r="AO2" s="25" t="s">
        <v>25</v>
      </c>
      <c r="AP2" s="25" t="s">
        <v>26</v>
      </c>
      <c r="AQ2" s="25" t="s">
        <v>47</v>
      </c>
      <c r="AR2" s="24" t="s">
        <v>21</v>
      </c>
      <c r="AS2" s="25" t="s">
        <v>22</v>
      </c>
      <c r="AT2" s="25" t="s">
        <v>23</v>
      </c>
      <c r="AU2" s="25" t="s">
        <v>24</v>
      </c>
      <c r="AV2" s="26" t="s">
        <v>49</v>
      </c>
    </row>
    <row r="3" spans="1:48" x14ac:dyDescent="0.25">
      <c r="A3" s="27" t="s">
        <v>12</v>
      </c>
      <c r="B3" s="10">
        <v>1</v>
      </c>
      <c r="C3" s="28">
        <v>0.1</v>
      </c>
      <c r="D3" s="29">
        <v>9.9199999999999997E-2</v>
      </c>
      <c r="E3" s="29">
        <v>0.36449999999999999</v>
      </c>
      <c r="F3" s="29">
        <v>0.43630000000000002</v>
      </c>
      <c r="G3" s="30">
        <v>264.53913999999997</v>
      </c>
      <c r="H3" s="31">
        <v>1.95059</v>
      </c>
      <c r="I3" s="32">
        <v>10284.362429999999</v>
      </c>
      <c r="J3" s="33">
        <v>278.38272999999998</v>
      </c>
      <c r="K3" s="103" t="s">
        <v>18</v>
      </c>
      <c r="L3" s="34">
        <v>9.6902765000000002E-2</v>
      </c>
      <c r="M3" s="35">
        <v>9.4224710000000003E-2</v>
      </c>
      <c r="N3" s="35">
        <v>0.38341655000000002</v>
      </c>
      <c r="O3" s="35">
        <v>0.425456</v>
      </c>
      <c r="P3" s="65">
        <v>264.5</v>
      </c>
      <c r="Q3" s="10">
        <v>1.98</v>
      </c>
      <c r="R3" s="10">
        <v>10250</v>
      </c>
      <c r="S3" s="30">
        <v>143.41557618973144</v>
      </c>
      <c r="T3" s="35">
        <v>0.41325329291282076</v>
      </c>
      <c r="U3" s="37">
        <v>0.19618188265972747</v>
      </c>
      <c r="V3" s="38">
        <v>0.19657777369236198</v>
      </c>
      <c r="W3" s="38">
        <v>0.32746610395249742</v>
      </c>
      <c r="X3" s="38">
        <v>0.13470103519248119</v>
      </c>
      <c r="Y3" s="38">
        <v>3.3088346824114739E-2</v>
      </c>
      <c r="Z3" s="38">
        <v>0.1119848576788172</v>
      </c>
      <c r="AA3" s="34">
        <f t="shared" ref="AA3:AA5" si="0">(U3+V3)</f>
        <v>0.39275965635208943</v>
      </c>
      <c r="AB3" s="34">
        <v>0.1334349431830458</v>
      </c>
      <c r="AC3" s="35">
        <v>7.4614270809859051E-2</v>
      </c>
      <c r="AD3" s="35">
        <v>4.6401035914806307E-2</v>
      </c>
      <c r="AE3" s="35">
        <v>2.7670413039866688E-2</v>
      </c>
      <c r="AF3" s="35">
        <v>1.6683774368131218E-2</v>
      </c>
      <c r="AG3" s="35">
        <v>1.0583240284535264E-2</v>
      </c>
      <c r="AH3" s="35">
        <v>7.108950189443318E-3</v>
      </c>
      <c r="AI3" s="35">
        <v>5.1128455323616448E-3</v>
      </c>
      <c r="AJ3" s="35">
        <v>5.8566306304481484E-3</v>
      </c>
      <c r="AK3" s="34">
        <v>9.7657565299827248E-3</v>
      </c>
      <c r="AL3" s="35">
        <v>7.5869574744607218E-2</v>
      </c>
      <c r="AM3" s="35">
        <v>2.9048697761789338E-2</v>
      </c>
      <c r="AN3" s="35">
        <v>1.3395759649892387E-2</v>
      </c>
      <c r="AO3" s="35">
        <v>4.3265526716201779E-3</v>
      </c>
      <c r="AP3" s="35">
        <v>1.3391236170465406E-3</v>
      </c>
      <c r="AQ3" s="35">
        <v>9.5557021754276591E-4</v>
      </c>
      <c r="AR3" s="34">
        <v>5.1524884732208703E-2</v>
      </c>
      <c r="AS3" s="35">
        <v>3.864454997610367E-2</v>
      </c>
      <c r="AT3" s="35">
        <v>1.4234857426815057E-2</v>
      </c>
      <c r="AU3" s="35">
        <v>5.7082264461068306E-3</v>
      </c>
      <c r="AV3" s="62">
        <v>1.8723390975829378E-3</v>
      </c>
    </row>
    <row r="4" spans="1:48" x14ac:dyDescent="0.25">
      <c r="B4" s="10">
        <v>2</v>
      </c>
      <c r="C4" s="28">
        <v>0.1</v>
      </c>
      <c r="D4" s="29">
        <v>9.1740000000000002E-2</v>
      </c>
      <c r="E4" s="29">
        <v>0.18421999999999999</v>
      </c>
      <c r="F4" s="29">
        <v>0.62404000000000004</v>
      </c>
      <c r="G4" s="30">
        <v>245.91022000000001</v>
      </c>
      <c r="H4" s="31">
        <v>3.16717</v>
      </c>
      <c r="I4" s="32">
        <v>32953.501349999999</v>
      </c>
      <c r="J4" s="33">
        <v>332.05919999999998</v>
      </c>
      <c r="K4" s="104"/>
      <c r="L4" s="34">
        <v>0.10368715000000001</v>
      </c>
      <c r="M4" s="35">
        <v>8.9899065E-2</v>
      </c>
      <c r="N4" s="35">
        <v>0.19748195000000002</v>
      </c>
      <c r="O4" s="35">
        <v>0.60893174999999999</v>
      </c>
      <c r="P4" s="30">
        <v>245.9</v>
      </c>
      <c r="Q4" s="10">
        <v>3.15</v>
      </c>
      <c r="R4" s="10">
        <v>33000</v>
      </c>
      <c r="S4" s="30">
        <v>249.83651548611647</v>
      </c>
      <c r="T4" s="35">
        <v>0.20374949879154539</v>
      </c>
      <c r="U4" s="37">
        <v>7.6721594697385639E-2</v>
      </c>
      <c r="V4" s="38">
        <v>0.27890150935137686</v>
      </c>
      <c r="W4" s="38">
        <v>0.26487047532529501</v>
      </c>
      <c r="X4" s="38">
        <v>9.6611401299670288E-2</v>
      </c>
      <c r="Y4" s="38">
        <v>0.12144160633011743</v>
      </c>
      <c r="Z4" s="38">
        <v>0.16145341299615504</v>
      </c>
      <c r="AA4" s="34">
        <f t="shared" si="0"/>
        <v>0.35562310404876252</v>
      </c>
      <c r="AB4" s="34">
        <v>0.11986994305799342</v>
      </c>
      <c r="AC4" s="35">
        <v>6.1213042353633597E-2</v>
      </c>
      <c r="AD4" s="35">
        <v>3.4461761178787645E-2</v>
      </c>
      <c r="AE4" s="35">
        <v>1.8617472066989191E-2</v>
      </c>
      <c r="AF4" s="35">
        <v>1.107571983913036E-2</v>
      </c>
      <c r="AG4" s="35">
        <v>7.6886348575179045E-3</v>
      </c>
      <c r="AH4" s="35">
        <v>5.14398388810862E-3</v>
      </c>
      <c r="AI4" s="35">
        <v>3.9815194189011648E-3</v>
      </c>
      <c r="AJ4" s="35">
        <v>2.8183986642330897E-3</v>
      </c>
      <c r="AK4" s="34">
        <v>9.6792640393613214E-3</v>
      </c>
      <c r="AL4" s="35">
        <v>5.2387986568227206E-2</v>
      </c>
      <c r="AM4" s="35">
        <v>1.9847568397935018E-2</v>
      </c>
      <c r="AN4" s="35">
        <v>1.0570984509108343E-2</v>
      </c>
      <c r="AO4" s="35">
        <v>3.3725106610167214E-3</v>
      </c>
      <c r="AP4" s="35">
        <v>7.5308712402168522E-4</v>
      </c>
      <c r="AQ4" s="35">
        <v>0</v>
      </c>
      <c r="AR4" s="34">
        <v>0.10170159684014209</v>
      </c>
      <c r="AS4" s="35">
        <v>4.0925421012071223E-2</v>
      </c>
      <c r="AT4" s="35">
        <v>1.1467103994920411E-2</v>
      </c>
      <c r="AU4" s="35">
        <v>5.2876792171462558E-3</v>
      </c>
      <c r="AV4" s="62">
        <v>2.0716119318750508E-3</v>
      </c>
    </row>
    <row r="5" spans="1:48" x14ac:dyDescent="0.25">
      <c r="B5" s="10">
        <v>3</v>
      </c>
      <c r="C5" s="28">
        <v>0.1</v>
      </c>
      <c r="D5" s="29">
        <v>0.44886999999999999</v>
      </c>
      <c r="E5" s="29">
        <v>0.05</v>
      </c>
      <c r="F5" s="29">
        <v>0.40112999999999999</v>
      </c>
      <c r="G5" s="30">
        <v>274.34541000000002</v>
      </c>
      <c r="H5" s="31">
        <v>2.00346</v>
      </c>
      <c r="I5" s="32">
        <v>19992.85111</v>
      </c>
      <c r="J5" s="33">
        <v>322.04376999999999</v>
      </c>
      <c r="K5" s="104"/>
      <c r="L5" s="34">
        <v>8.5819159999999992E-2</v>
      </c>
      <c r="M5" s="35">
        <v>0.45471210000000001</v>
      </c>
      <c r="N5" s="35">
        <v>5.8696970000000001E-2</v>
      </c>
      <c r="O5" s="35">
        <v>0.40077180000000001</v>
      </c>
      <c r="P5" s="65">
        <v>274.3</v>
      </c>
      <c r="Q5" s="10">
        <v>1.98</v>
      </c>
      <c r="R5" s="10">
        <v>20000</v>
      </c>
      <c r="S5" s="30">
        <v>263.47264024281174</v>
      </c>
      <c r="T5" s="35">
        <v>0.43829334230196471</v>
      </c>
      <c r="U5" s="37">
        <v>0.20256680913849481</v>
      </c>
      <c r="V5" s="38">
        <v>0.2280196707291956</v>
      </c>
      <c r="W5" s="38">
        <v>0.30807016044719693</v>
      </c>
      <c r="X5" s="38">
        <v>8.259106385135459E-2</v>
      </c>
      <c r="Y5" s="38">
        <v>6.8831954964974823E-2</v>
      </c>
      <c r="Z5" s="38">
        <v>0.10992034086878304</v>
      </c>
      <c r="AA5" s="34">
        <f t="shared" si="0"/>
        <v>0.43058647986769039</v>
      </c>
      <c r="AB5" s="34">
        <v>0.11201885570173703</v>
      </c>
      <c r="AC5" s="35">
        <v>7.3559178658141613E-2</v>
      </c>
      <c r="AD5" s="35">
        <v>4.653820803068745E-2</v>
      </c>
      <c r="AE5" s="35">
        <v>2.9453849045510003E-2</v>
      </c>
      <c r="AF5" s="35">
        <v>1.6637827791585763E-2</v>
      </c>
      <c r="AG5" s="35">
        <v>1.2369178625320224E-2</v>
      </c>
      <c r="AH5" s="35">
        <v>8.0628725140049224E-3</v>
      </c>
      <c r="AI5" s="35">
        <v>5.6146757660768456E-3</v>
      </c>
      <c r="AJ5" s="35">
        <v>3.8155143141330805E-3</v>
      </c>
      <c r="AK5" s="34">
        <v>5.7229048296426627E-3</v>
      </c>
      <c r="AL5" s="35">
        <v>4.5356583635887987E-2</v>
      </c>
      <c r="AM5" s="35">
        <v>1.6174111229364393E-2</v>
      </c>
      <c r="AN5" s="35">
        <v>9.7259180814484036E-3</v>
      </c>
      <c r="AO5" s="35">
        <v>3.3577473870857787E-3</v>
      </c>
      <c r="AP5" s="35">
        <v>1.4335065759777587E-3</v>
      </c>
      <c r="AQ5" s="35">
        <v>8.2029211194762036E-4</v>
      </c>
      <c r="AR5" s="34">
        <v>6.8754337312201291E-2</v>
      </c>
      <c r="AS5" s="35">
        <v>2.678417542502666E-2</v>
      </c>
      <c r="AT5" s="35">
        <v>9.2375109442571768E-3</v>
      </c>
      <c r="AU5" s="35">
        <v>3.7446704387266638E-3</v>
      </c>
      <c r="AV5" s="62">
        <v>1.3996467485712471E-3</v>
      </c>
    </row>
    <row r="6" spans="1:48" x14ac:dyDescent="0.25">
      <c r="B6" s="10">
        <v>4</v>
      </c>
      <c r="C6" s="28">
        <v>0.1</v>
      </c>
      <c r="D6" s="29">
        <v>9.2780000000000001E-2</v>
      </c>
      <c r="E6" s="29">
        <v>0.15970999999999999</v>
      </c>
      <c r="F6" s="29">
        <v>0.64751000000000003</v>
      </c>
      <c r="G6" s="30">
        <v>279.10003</v>
      </c>
      <c r="H6" s="31">
        <v>1.7900799999999999</v>
      </c>
      <c r="I6" s="32">
        <v>18879.351859999999</v>
      </c>
      <c r="J6" s="33">
        <v>454.79291999999998</v>
      </c>
      <c r="K6" s="105" t="s">
        <v>10</v>
      </c>
      <c r="L6" s="34">
        <v>0.10368715000000001</v>
      </c>
      <c r="M6" s="35">
        <v>8.9899065E-2</v>
      </c>
      <c r="N6" s="35">
        <v>0.19748195000000002</v>
      </c>
      <c r="O6" s="35">
        <v>0.60893174999999999</v>
      </c>
      <c r="P6" s="65">
        <v>279.10000000000002</v>
      </c>
      <c r="Q6" s="10">
        <v>1.78</v>
      </c>
      <c r="R6" s="10">
        <v>18999.999999999996</v>
      </c>
      <c r="S6" s="30">
        <v>339.83859215724129</v>
      </c>
      <c r="T6" s="35">
        <v>0.65188235947686357</v>
      </c>
      <c r="U6" s="37">
        <v>0.30324823873938783</v>
      </c>
      <c r="V6" s="39">
        <v>0.1961602232797659</v>
      </c>
      <c r="W6" s="39">
        <v>0.29577836183053446</v>
      </c>
      <c r="X6" s="39">
        <v>9.3155060716983124E-2</v>
      </c>
      <c r="Y6" s="39">
        <v>2.831525361208875E-2</v>
      </c>
      <c r="Z6" s="39">
        <v>8.3342861821239858E-2</v>
      </c>
      <c r="AA6" s="34">
        <f>(U6+V6)</f>
        <v>0.49940846201915373</v>
      </c>
      <c r="AB6" s="34">
        <v>0.10692666407021474</v>
      </c>
      <c r="AC6" s="35">
        <v>7.1369921362506861E-2</v>
      </c>
      <c r="AD6" s="35">
        <v>4.4252922766555867E-2</v>
      </c>
      <c r="AE6" s="35">
        <v>2.791932499619711E-2</v>
      </c>
      <c r="AF6" s="35">
        <v>1.6182641538367577E-2</v>
      </c>
      <c r="AG6" s="35">
        <v>1.2142034623121476E-2</v>
      </c>
      <c r="AH6" s="35">
        <v>7.9973942150980328E-3</v>
      </c>
      <c r="AI6" s="35">
        <v>5.3999871173535585E-3</v>
      </c>
      <c r="AJ6" s="35">
        <v>3.5874711411192444E-3</v>
      </c>
      <c r="AK6" s="34">
        <v>5.0126880900564323E-3</v>
      </c>
      <c r="AL6" s="35">
        <v>4.8920760382117151E-2</v>
      </c>
      <c r="AM6" s="35">
        <v>2.0340699112321656E-2</v>
      </c>
      <c r="AN6" s="35">
        <v>1.1615510587098921E-2</v>
      </c>
      <c r="AO6" s="35">
        <v>4.6937774390501293E-3</v>
      </c>
      <c r="AP6" s="35">
        <v>1.6948194825042841E-3</v>
      </c>
      <c r="AQ6" s="35">
        <v>8.7680562383455479E-4</v>
      </c>
      <c r="AR6" s="34">
        <v>4.8774541822639482E-2</v>
      </c>
      <c r="AS6" s="35">
        <v>2.2318258117078705E-2</v>
      </c>
      <c r="AT6" s="35">
        <v>8.0387608279469201E-3</v>
      </c>
      <c r="AU6" s="35">
        <v>3.0048340802248095E-3</v>
      </c>
      <c r="AV6" s="62">
        <v>1.2064669733499315E-3</v>
      </c>
    </row>
    <row r="7" spans="1:48" x14ac:dyDescent="0.25">
      <c r="B7" s="10">
        <v>5</v>
      </c>
      <c r="C7" s="28">
        <v>0.1</v>
      </c>
      <c r="D7" s="29">
        <v>0.10145999999999999</v>
      </c>
      <c r="E7" s="29">
        <v>0.17705000000000001</v>
      </c>
      <c r="F7" s="29">
        <v>0.62148999999999999</v>
      </c>
      <c r="G7" s="30">
        <v>256.94020999999998</v>
      </c>
      <c r="H7" s="31">
        <v>3.1331600000000002</v>
      </c>
      <c r="I7" s="32">
        <v>43450.376340000003</v>
      </c>
      <c r="J7" s="33">
        <v>412.12759999999997</v>
      </c>
      <c r="K7" s="105"/>
      <c r="L7" s="34">
        <v>0.10368715000000001</v>
      </c>
      <c r="M7" s="35">
        <v>8.9899065E-2</v>
      </c>
      <c r="N7" s="35">
        <v>0.19748195000000002</v>
      </c>
      <c r="O7" s="35">
        <v>0.60893174999999999</v>
      </c>
      <c r="P7" s="65">
        <v>256.89999999999998</v>
      </c>
      <c r="Q7" s="10">
        <v>3.15</v>
      </c>
      <c r="R7" s="10">
        <v>43500</v>
      </c>
      <c r="S7" s="30">
        <v>391.96123247575775</v>
      </c>
      <c r="T7" s="35">
        <v>0.25709063938379267</v>
      </c>
      <c r="U7" s="37">
        <v>8.5766346667389012E-2</v>
      </c>
      <c r="V7" s="39">
        <v>0.29880529888920776</v>
      </c>
      <c r="W7" s="39">
        <v>0.27751002446964912</v>
      </c>
      <c r="X7" s="39">
        <v>9.0062637639524865E-2</v>
      </c>
      <c r="Y7" s="39">
        <v>0.10722019206047946</v>
      </c>
      <c r="Z7" s="39">
        <v>0.14063550027374958</v>
      </c>
      <c r="AA7" s="34">
        <f t="shared" ref="AA7:AA38" si="1">(U7+V7)</f>
        <v>0.38457164555659679</v>
      </c>
      <c r="AB7" s="34">
        <v>0.12264516639934847</v>
      </c>
      <c r="AC7" s="35">
        <v>6.3676765411132971E-2</v>
      </c>
      <c r="AD7" s="35">
        <v>3.6413448324491914E-2</v>
      </c>
      <c r="AE7" s="35">
        <v>1.9975020630619813E-2</v>
      </c>
      <c r="AF7" s="35">
        <v>1.1685493900646271E-2</v>
      </c>
      <c r="AG7" s="35">
        <v>7.2809167141318657E-3</v>
      </c>
      <c r="AH7" s="35">
        <v>5.0929836294789227E-3</v>
      </c>
      <c r="AI7" s="35">
        <v>2.7314341901304336E-3</v>
      </c>
      <c r="AJ7" s="35">
        <v>8.0087952696684204E-3</v>
      </c>
      <c r="AK7" s="34">
        <v>7.8177537683447405E-3</v>
      </c>
      <c r="AL7" s="35">
        <v>4.8954124318508013E-2</v>
      </c>
      <c r="AM7" s="35">
        <v>1.8131270330515561E-2</v>
      </c>
      <c r="AN7" s="35">
        <v>1.0464998031538624E-2</v>
      </c>
      <c r="AO7" s="35">
        <v>3.2546127916080587E-3</v>
      </c>
      <c r="AP7" s="35">
        <v>1.4398783990098769E-3</v>
      </c>
      <c r="AQ7" s="35">
        <v>0</v>
      </c>
      <c r="AR7" s="34">
        <v>8.7684097858135343E-2</v>
      </c>
      <c r="AS7" s="35">
        <v>3.5997420132159182E-2</v>
      </c>
      <c r="AT7" s="35">
        <v>1.0680721832593948E-2</v>
      </c>
      <c r="AU7" s="35">
        <v>4.4022825973763823E-3</v>
      </c>
      <c r="AV7" s="62">
        <v>1.8709778534847278E-3</v>
      </c>
    </row>
    <row r="8" spans="1:48" x14ac:dyDescent="0.25">
      <c r="A8" s="15"/>
      <c r="B8" s="15">
        <v>6</v>
      </c>
      <c r="C8" s="40">
        <v>0.1</v>
      </c>
      <c r="D8" s="41">
        <v>9.3369999999999995E-2</v>
      </c>
      <c r="E8" s="41">
        <v>0.18870999999999999</v>
      </c>
      <c r="F8" s="41">
        <v>0.61792000000000002</v>
      </c>
      <c r="G8" s="42">
        <v>278.48358000000002</v>
      </c>
      <c r="H8" s="43">
        <v>1.7582199999999999</v>
      </c>
      <c r="I8" s="44">
        <v>32590.024109999998</v>
      </c>
      <c r="J8" s="45">
        <v>488.17401999999998</v>
      </c>
      <c r="K8" s="106"/>
      <c r="L8" s="46">
        <v>0.10368715000000001</v>
      </c>
      <c r="M8" s="47">
        <v>8.9899065E-2</v>
      </c>
      <c r="N8" s="47">
        <v>0.19748195000000002</v>
      </c>
      <c r="O8" s="47">
        <v>0.60893174999999999</v>
      </c>
      <c r="P8" s="73">
        <v>278.5</v>
      </c>
      <c r="Q8" s="15">
        <v>1.78</v>
      </c>
      <c r="R8" s="15">
        <v>32550</v>
      </c>
      <c r="S8" s="42">
        <v>541.45797264008945</v>
      </c>
      <c r="T8" s="47">
        <v>0.44812324647197138</v>
      </c>
      <c r="U8" s="49">
        <v>0.21831313151708223</v>
      </c>
      <c r="V8" s="50">
        <v>0.22855432627626318</v>
      </c>
      <c r="W8" s="50">
        <v>0.28133542912853243</v>
      </c>
      <c r="X8" s="50">
        <v>0.1200934088119428</v>
      </c>
      <c r="Y8" s="50">
        <v>4.7137170634572824E-2</v>
      </c>
      <c r="Z8" s="50">
        <v>0.1045665336316066</v>
      </c>
      <c r="AA8" s="46">
        <f t="shared" si="1"/>
        <v>0.44686745779334541</v>
      </c>
      <c r="AB8" s="46">
        <v>0.11262365206719822</v>
      </c>
      <c r="AC8" s="47">
        <v>6.2640796203716778E-2</v>
      </c>
      <c r="AD8" s="47">
        <v>3.7509340141728513E-2</v>
      </c>
      <c r="AE8" s="47">
        <v>2.5324502455584669E-2</v>
      </c>
      <c r="AF8" s="47">
        <v>1.519306936252688E-2</v>
      </c>
      <c r="AG8" s="47">
        <v>1.0234070696831554E-2</v>
      </c>
      <c r="AH8" s="47">
        <v>7.0019521909583703E-3</v>
      </c>
      <c r="AI8" s="47">
        <v>5.68981926151869E-3</v>
      </c>
      <c r="AJ8" s="47">
        <v>5.118226748468689E-3</v>
      </c>
      <c r="AK8" s="46">
        <v>8.6633782103502505E-3</v>
      </c>
      <c r="AL8" s="47">
        <v>6.3602393008520761E-2</v>
      </c>
      <c r="AM8" s="47">
        <v>2.7134827160542996E-2</v>
      </c>
      <c r="AN8" s="47">
        <v>1.6406183052333573E-2</v>
      </c>
      <c r="AO8" s="47">
        <v>1.5770101606654705E-3</v>
      </c>
      <c r="AP8" s="47">
        <v>1.5101047963189315E-3</v>
      </c>
      <c r="AQ8" s="47">
        <v>1.1995124232108266E-3</v>
      </c>
      <c r="AR8" s="46">
        <v>6.1135057646441206E-2</v>
      </c>
      <c r="AS8" s="47">
        <v>2.823897948164034E-2</v>
      </c>
      <c r="AT8" s="47">
        <v>9.8534198228471329E-3</v>
      </c>
      <c r="AU8" s="47">
        <v>3.9702475683571041E-3</v>
      </c>
      <c r="AV8" s="63">
        <v>1.3688291123208124E-3</v>
      </c>
    </row>
    <row r="9" spans="1:48" x14ac:dyDescent="0.25">
      <c r="A9" s="27" t="s">
        <v>13</v>
      </c>
      <c r="B9" s="52">
        <v>1</v>
      </c>
      <c r="C9" s="28">
        <v>0.1</v>
      </c>
      <c r="D9" s="29">
        <v>0.1</v>
      </c>
      <c r="E9" s="29">
        <v>0.1</v>
      </c>
      <c r="F9" s="29">
        <v>0.7</v>
      </c>
      <c r="G9" s="30">
        <v>273</v>
      </c>
      <c r="H9" s="31">
        <v>2.7</v>
      </c>
      <c r="I9" s="10">
        <v>32600</v>
      </c>
      <c r="J9" s="33">
        <v>461.2</v>
      </c>
      <c r="K9" s="103" t="s">
        <v>18</v>
      </c>
      <c r="L9" s="34">
        <v>9.4631190000000004E-2</v>
      </c>
      <c r="M9" s="35">
        <v>9.6226400000000004E-2</v>
      </c>
      <c r="N9" s="35">
        <v>0.11274869999999999</v>
      </c>
      <c r="O9" s="35">
        <v>0.6963937</v>
      </c>
      <c r="P9" s="30">
        <v>273</v>
      </c>
      <c r="Q9" s="31">
        <v>2.7</v>
      </c>
      <c r="R9" s="32">
        <v>32600.000000000004</v>
      </c>
      <c r="S9" s="30">
        <v>427.91086449513602</v>
      </c>
      <c r="T9" s="35">
        <v>0.68363096140416868</v>
      </c>
      <c r="U9" s="34">
        <v>0.25513611623446891</v>
      </c>
      <c r="V9" s="35">
        <v>0.23027539032939648</v>
      </c>
      <c r="W9" s="35">
        <v>0.33317884778488821</v>
      </c>
      <c r="X9" s="35">
        <v>6.3541633237608225E-2</v>
      </c>
      <c r="Y9" s="35">
        <v>3.8591232346684427E-2</v>
      </c>
      <c r="Z9" s="35">
        <v>7.9276780066953698E-2</v>
      </c>
      <c r="AA9" s="34">
        <f t="shared" si="1"/>
        <v>0.48541150656386539</v>
      </c>
      <c r="AB9" s="34">
        <v>0.11305673151615336</v>
      </c>
      <c r="AC9" s="35">
        <v>8.6436439238313401E-2</v>
      </c>
      <c r="AD9" s="35">
        <v>5.2986985158237306E-2</v>
      </c>
      <c r="AE9" s="35">
        <v>3.2708525293580509E-2</v>
      </c>
      <c r="AF9" s="35">
        <v>1.7877985857123923E-2</v>
      </c>
      <c r="AG9" s="35">
        <v>1.2835386992005921E-2</v>
      </c>
      <c r="AH9" s="35">
        <v>8.2250992249605585E-3</v>
      </c>
      <c r="AI9" s="35">
        <v>5.4818893400164744E-3</v>
      </c>
      <c r="AJ9" s="35">
        <v>3.5698051644967484E-3</v>
      </c>
      <c r="AK9" s="34">
        <v>3.2621243348498162E-3</v>
      </c>
      <c r="AL9" s="35">
        <v>3.5499423057159446E-2</v>
      </c>
      <c r="AM9" s="35">
        <v>1.2986057265126381E-2</v>
      </c>
      <c r="AN9" s="35">
        <v>7.2103871941417491E-3</v>
      </c>
      <c r="AO9" s="35">
        <v>2.4849562233900603E-3</v>
      </c>
      <c r="AP9" s="35">
        <v>1.2700981446413953E-3</v>
      </c>
      <c r="AQ9" s="35">
        <v>8.2858701829937199E-4</v>
      </c>
      <c r="AR9" s="34">
        <v>4.8853163262700179E-2</v>
      </c>
      <c r="AS9" s="35">
        <v>1.9969360765498025E-2</v>
      </c>
      <c r="AT9" s="35">
        <v>6.9052082026388592E-3</v>
      </c>
      <c r="AU9" s="35">
        <v>2.5843242497672427E-3</v>
      </c>
      <c r="AV9" s="62">
        <v>9.6472358634938605E-4</v>
      </c>
    </row>
    <row r="10" spans="1:48" x14ac:dyDescent="0.25">
      <c r="B10" s="10">
        <v>2</v>
      </c>
      <c r="C10" s="28">
        <v>0.1</v>
      </c>
      <c r="D10" s="29">
        <v>0.1</v>
      </c>
      <c r="E10" s="29">
        <v>0.14000000000000001</v>
      </c>
      <c r="F10" s="29">
        <v>0.67</v>
      </c>
      <c r="G10" s="30">
        <v>277</v>
      </c>
      <c r="H10" s="31">
        <v>2.4</v>
      </c>
      <c r="I10" s="10">
        <v>37500</v>
      </c>
      <c r="J10" s="33">
        <v>509.11</v>
      </c>
      <c r="K10" s="104"/>
      <c r="L10" s="34">
        <v>0.11717000000000001</v>
      </c>
      <c r="M10" s="35">
        <v>9.5629589999999987E-2</v>
      </c>
      <c r="N10" s="35">
        <v>0.14434239999999998</v>
      </c>
      <c r="O10" s="35">
        <v>0.64285804999999996</v>
      </c>
      <c r="P10" s="30">
        <v>277</v>
      </c>
      <c r="Q10" s="31">
        <v>2.4</v>
      </c>
      <c r="R10" s="32">
        <v>37500</v>
      </c>
      <c r="S10" s="30">
        <v>533.39592922680322</v>
      </c>
      <c r="T10" s="35">
        <v>0.53870560405312573</v>
      </c>
      <c r="U10" s="34">
        <v>0.21041066323769761</v>
      </c>
      <c r="V10" s="35">
        <v>0.25201084738484231</v>
      </c>
      <c r="W10" s="35">
        <v>0.28400075319729307</v>
      </c>
      <c r="X10" s="35">
        <v>9.4934106699826271E-2</v>
      </c>
      <c r="Y10" s="35">
        <v>5.4591785465634146E-2</v>
      </c>
      <c r="Z10" s="35">
        <v>0.10405184401470699</v>
      </c>
      <c r="AA10" s="34">
        <f t="shared" si="1"/>
        <v>0.46242151062253989</v>
      </c>
      <c r="AB10" s="34">
        <v>0.11242938657033454</v>
      </c>
      <c r="AC10" s="35">
        <v>6.6255784613795707E-2</v>
      </c>
      <c r="AD10" s="35">
        <v>4.0743326350463842E-2</v>
      </c>
      <c r="AE10" s="35">
        <v>2.4793108124786856E-2</v>
      </c>
      <c r="AF10" s="35">
        <v>1.4468522938917249E-2</v>
      </c>
      <c r="AG10" s="35">
        <v>9.5773439187399733E-3</v>
      </c>
      <c r="AH10" s="35">
        <v>6.4319500799731493E-3</v>
      </c>
      <c r="AI10" s="35">
        <v>6.2777064926443187E-3</v>
      </c>
      <c r="AJ10" s="35">
        <v>3.0236241076373759E-3</v>
      </c>
      <c r="AK10" s="34">
        <v>5.9882097651464935E-3</v>
      </c>
      <c r="AL10" s="35">
        <v>5.0369795363563528E-2</v>
      </c>
      <c r="AM10" s="35">
        <v>1.995463564985164E-2</v>
      </c>
      <c r="AN10" s="35">
        <v>1.2379710359619831E-2</v>
      </c>
      <c r="AO10" s="35">
        <v>3.97199598132221E-3</v>
      </c>
      <c r="AP10" s="35">
        <v>1.4348701170029989E-3</v>
      </c>
      <c r="AQ10" s="35">
        <v>8.3488946331957499E-4</v>
      </c>
      <c r="AR10" s="34">
        <v>6.3640942377456503E-2</v>
      </c>
      <c r="AS10" s="35">
        <v>2.6302213397305544E-2</v>
      </c>
      <c r="AT10" s="35">
        <v>9.2496646441598551E-3</v>
      </c>
      <c r="AU10" s="35">
        <v>3.7024485720668406E-3</v>
      </c>
      <c r="AV10" s="62">
        <v>1.1565750237182597E-3</v>
      </c>
    </row>
    <row r="11" spans="1:48" x14ac:dyDescent="0.25">
      <c r="B11" s="10">
        <v>3</v>
      </c>
      <c r="C11" s="28">
        <v>0.1</v>
      </c>
      <c r="D11" s="29">
        <v>0.08</v>
      </c>
      <c r="E11" s="29">
        <v>0.24</v>
      </c>
      <c r="F11" s="29">
        <v>0.57999999999999996</v>
      </c>
      <c r="G11" s="30">
        <v>281</v>
      </c>
      <c r="H11" s="31">
        <v>1.8</v>
      </c>
      <c r="I11" s="10">
        <v>43800</v>
      </c>
      <c r="J11" s="33">
        <v>555.79999999999995</v>
      </c>
      <c r="K11" s="105" t="s">
        <v>10</v>
      </c>
      <c r="L11" s="34">
        <v>0.13120509999999999</v>
      </c>
      <c r="M11" s="35">
        <v>8.0801599999999987E-2</v>
      </c>
      <c r="N11" s="35">
        <v>0.25022295</v>
      </c>
      <c r="O11" s="35">
        <v>0.53777039999999998</v>
      </c>
      <c r="P11" s="30">
        <v>281</v>
      </c>
      <c r="Q11" s="31">
        <v>1.8</v>
      </c>
      <c r="R11" s="32">
        <v>43800</v>
      </c>
      <c r="S11" s="30">
        <v>570.44599703739095</v>
      </c>
      <c r="T11" s="35">
        <v>0.38928609513021817</v>
      </c>
      <c r="U11" s="34">
        <v>0.16068905835774666</v>
      </c>
      <c r="V11" s="35">
        <v>0.21823739344942711</v>
      </c>
      <c r="W11" s="35">
        <v>0.29851754926079654</v>
      </c>
      <c r="X11" s="35">
        <v>0.15989351305462882</v>
      </c>
      <c r="Y11" s="35">
        <v>4.283861209299121E-2</v>
      </c>
      <c r="Z11" s="35">
        <v>0.11982387378441045</v>
      </c>
      <c r="AA11" s="34">
        <f t="shared" si="1"/>
        <v>0.37892645180717377</v>
      </c>
      <c r="AB11" s="34">
        <v>0.11818635578002033</v>
      </c>
      <c r="AC11" s="35">
        <v>6.3592959826994283E-2</v>
      </c>
      <c r="AD11" s="35">
        <v>4.1430292383269243E-2</v>
      </c>
      <c r="AE11" s="35">
        <v>2.6202365939121654E-2</v>
      </c>
      <c r="AF11" s="35">
        <v>1.6927534068094115E-2</v>
      </c>
      <c r="AG11" s="35">
        <v>1.2954697053808101E-2</v>
      </c>
      <c r="AH11" s="35">
        <v>8.7482288686416484E-3</v>
      </c>
      <c r="AI11" s="35">
        <v>6.1819881679728746E-3</v>
      </c>
      <c r="AJ11" s="35">
        <v>4.2931271728743068E-3</v>
      </c>
      <c r="AK11" s="34">
        <v>1.1821690987522972E-2</v>
      </c>
      <c r="AL11" s="35">
        <v>8.1132864666839291E-2</v>
      </c>
      <c r="AM11" s="35">
        <v>3.6123353816165639E-2</v>
      </c>
      <c r="AN11" s="35">
        <v>1.9625372152742876E-2</v>
      </c>
      <c r="AO11" s="35">
        <v>7.2407849176558377E-3</v>
      </c>
      <c r="AP11" s="35">
        <v>2.6955366831506694E-3</v>
      </c>
      <c r="AQ11" s="35">
        <v>1.2539098305515044E-3</v>
      </c>
      <c r="AR11" s="34">
        <v>6.6580679017600716E-2</v>
      </c>
      <c r="AS11" s="35">
        <v>3.428987840673571E-2</v>
      </c>
      <c r="AT11" s="35">
        <v>1.1791646952479079E-2</v>
      </c>
      <c r="AU11" s="35">
        <v>4.9592577731520197E-3</v>
      </c>
      <c r="AV11" s="62">
        <v>2.2024116344429162E-3</v>
      </c>
    </row>
    <row r="12" spans="1:48" x14ac:dyDescent="0.25">
      <c r="B12" s="10">
        <v>4</v>
      </c>
      <c r="C12" s="28">
        <v>0.1</v>
      </c>
      <c r="D12" s="29">
        <v>0.1</v>
      </c>
      <c r="E12" s="29">
        <v>0.25</v>
      </c>
      <c r="F12" s="29">
        <v>0.55000000000000004</v>
      </c>
      <c r="G12" s="30">
        <v>281</v>
      </c>
      <c r="H12" s="31">
        <v>1.35</v>
      </c>
      <c r="I12" s="10">
        <v>47200</v>
      </c>
      <c r="J12" s="33">
        <v>564.62</v>
      </c>
      <c r="K12" s="105"/>
      <c r="L12" s="34">
        <v>0.13120509999999999</v>
      </c>
      <c r="M12" s="35">
        <v>8.0801599999999987E-2</v>
      </c>
      <c r="N12" s="35">
        <v>0.25022295</v>
      </c>
      <c r="O12" s="35">
        <v>0.53777039999999998</v>
      </c>
      <c r="P12" s="30">
        <v>281</v>
      </c>
      <c r="Q12" s="31">
        <v>1.35</v>
      </c>
      <c r="R12" s="32">
        <v>47200.000000000007</v>
      </c>
      <c r="S12" s="30">
        <v>581.93094856322216</v>
      </c>
      <c r="T12" s="35">
        <v>0.29565266761521075</v>
      </c>
      <c r="U12" s="34">
        <v>0.16036171414329711</v>
      </c>
      <c r="V12" s="35">
        <v>0.20447930737166156</v>
      </c>
      <c r="W12" s="35">
        <v>0.26885975575880544</v>
      </c>
      <c r="X12" s="35">
        <v>0.20139799724992971</v>
      </c>
      <c r="Y12" s="35">
        <v>4.1372337879050959E-2</v>
      </c>
      <c r="Z12" s="35">
        <v>0.12352888759725497</v>
      </c>
      <c r="AA12" s="34">
        <f t="shared" si="1"/>
        <v>0.36484102151495867</v>
      </c>
      <c r="AB12" s="34">
        <v>0.10986059543647893</v>
      </c>
      <c r="AC12" s="35">
        <v>5.3820097700215765E-2</v>
      </c>
      <c r="AD12" s="35">
        <v>3.5856747050672481E-2</v>
      </c>
      <c r="AE12" s="35">
        <v>2.2960186721352732E-2</v>
      </c>
      <c r="AF12" s="35">
        <v>1.5404871279524217E-2</v>
      </c>
      <c r="AG12" s="35">
        <v>1.2215537297480985E-2</v>
      </c>
      <c r="AH12" s="35">
        <v>8.4360193569982273E-3</v>
      </c>
      <c r="AI12" s="35">
        <v>6.0510659723432012E-3</v>
      </c>
      <c r="AJ12" s="35">
        <v>4.2546349437388503E-3</v>
      </c>
      <c r="AK12" s="34">
        <v>1.7466016572844238E-2</v>
      </c>
      <c r="AL12" s="35">
        <v>9.4027822143413306E-2</v>
      </c>
      <c r="AM12" s="35">
        <v>4.6019958783226199E-2</v>
      </c>
      <c r="AN12" s="35">
        <v>2.6680572750924929E-2</v>
      </c>
      <c r="AO12" s="35">
        <v>1.0516253325986732E-2</v>
      </c>
      <c r="AP12" s="35">
        <v>4.5278334460203381E-3</v>
      </c>
      <c r="AQ12" s="35">
        <v>2.1595402275139584E-3</v>
      </c>
      <c r="AR12" s="34">
        <v>6.7600060754111971E-2</v>
      </c>
      <c r="AS12" s="35">
        <v>3.4864057587183604E-2</v>
      </c>
      <c r="AT12" s="35">
        <v>1.2633673954748674E-2</v>
      </c>
      <c r="AU12" s="35">
        <v>5.8055982115434723E-3</v>
      </c>
      <c r="AV12" s="62">
        <v>2.625497089667255E-3</v>
      </c>
    </row>
    <row r="13" spans="1:48" x14ac:dyDescent="0.25">
      <c r="B13" s="10">
        <v>5</v>
      </c>
      <c r="C13" s="28">
        <v>0.1</v>
      </c>
      <c r="D13" s="29">
        <v>0.1</v>
      </c>
      <c r="E13" s="29">
        <v>0.16</v>
      </c>
      <c r="F13" s="29">
        <v>0.64</v>
      </c>
      <c r="G13" s="30">
        <v>284</v>
      </c>
      <c r="H13" s="31">
        <v>1.1499999999999999</v>
      </c>
      <c r="I13" s="10">
        <v>46300</v>
      </c>
      <c r="J13" s="33">
        <v>554.71</v>
      </c>
      <c r="K13" s="105"/>
      <c r="L13" s="34">
        <v>0.11097315000000001</v>
      </c>
      <c r="M13" s="35">
        <v>0.11673159999999999</v>
      </c>
      <c r="N13" s="35">
        <v>0.14020379999999999</v>
      </c>
      <c r="O13" s="35">
        <v>0.63209145</v>
      </c>
      <c r="P13" s="30">
        <v>284</v>
      </c>
      <c r="Q13" s="31">
        <v>1.1499999999999999</v>
      </c>
      <c r="R13" s="32">
        <v>46285.714285714283</v>
      </c>
      <c r="S13" s="30">
        <v>598.2219953133723</v>
      </c>
      <c r="T13" s="35">
        <v>0.3192823173071912</v>
      </c>
      <c r="U13" s="34">
        <v>0.21023364642252632</v>
      </c>
      <c r="V13" s="35">
        <v>0.21672939419172596</v>
      </c>
      <c r="W13" s="35">
        <v>0.25563442005441395</v>
      </c>
      <c r="X13" s="35">
        <v>0.16956977499602768</v>
      </c>
      <c r="Y13" s="35">
        <v>4.3278977254871419E-2</v>
      </c>
      <c r="Z13" s="35">
        <v>0.10455378708043468</v>
      </c>
      <c r="AA13" s="34">
        <f t="shared" si="1"/>
        <v>0.42696304061425228</v>
      </c>
      <c r="AB13" s="34">
        <v>0.10402768229033099</v>
      </c>
      <c r="AC13" s="35">
        <v>5.0895626011039079E-2</v>
      </c>
      <c r="AD13" s="35">
        <v>3.5004975073162491E-2</v>
      </c>
      <c r="AE13" s="35">
        <v>2.2940691721369644E-2</v>
      </c>
      <c r="AF13" s="35">
        <v>1.4271969658226628E-2</v>
      </c>
      <c r="AG13" s="35">
        <v>1.0103915324077487E-2</v>
      </c>
      <c r="AH13" s="35">
        <v>7.1683318578334328E-3</v>
      </c>
      <c r="AI13" s="35">
        <v>5.8531789714470527E-3</v>
      </c>
      <c r="AJ13" s="35">
        <v>5.3680491469271186E-3</v>
      </c>
      <c r="AK13" s="34">
        <v>1.549650968064323E-2</v>
      </c>
      <c r="AL13" s="35">
        <v>7.795236088434071E-2</v>
      </c>
      <c r="AM13" s="35">
        <v>3.7844221439094723E-2</v>
      </c>
      <c r="AN13" s="35">
        <v>2.3803479795080938E-2</v>
      </c>
      <c r="AO13" s="35">
        <v>9.0362666890409209E-3</v>
      </c>
      <c r="AP13" s="35">
        <v>3.2657433505558636E-3</v>
      </c>
      <c r="AQ13" s="35">
        <v>2.1711931572712885E-3</v>
      </c>
      <c r="AR13" s="34">
        <v>6.0676175364215601E-2</v>
      </c>
      <c r="AS13" s="35">
        <v>2.8106776881796747E-2</v>
      </c>
      <c r="AT13" s="35">
        <v>9.6924113622137743E-3</v>
      </c>
      <c r="AU13" s="35">
        <v>4.5024134708676914E-3</v>
      </c>
      <c r="AV13" s="62">
        <v>1.5760100013408797E-3</v>
      </c>
    </row>
    <row r="14" spans="1:48" x14ac:dyDescent="0.25">
      <c r="B14" s="15">
        <v>6</v>
      </c>
      <c r="C14" s="40">
        <v>0.1</v>
      </c>
      <c r="D14" s="41">
        <v>0.09</v>
      </c>
      <c r="E14" s="41">
        <v>0.19</v>
      </c>
      <c r="F14" s="41">
        <v>0.63</v>
      </c>
      <c r="G14" s="42">
        <v>279</v>
      </c>
      <c r="H14" s="43">
        <v>2</v>
      </c>
      <c r="I14" s="15">
        <v>40700</v>
      </c>
      <c r="J14" s="45">
        <v>539.37</v>
      </c>
      <c r="K14" s="106"/>
      <c r="L14" s="46">
        <v>8.1680375E-2</v>
      </c>
      <c r="M14" s="47">
        <v>9.9045754999999999E-2</v>
      </c>
      <c r="N14" s="47">
        <v>0.2141827</v>
      </c>
      <c r="O14" s="47">
        <v>0.60509119999999994</v>
      </c>
      <c r="P14" s="42">
        <v>279</v>
      </c>
      <c r="Q14" s="43">
        <v>2</v>
      </c>
      <c r="R14" s="44">
        <v>40645.161290322576</v>
      </c>
      <c r="S14" s="42">
        <v>625.77481839417203</v>
      </c>
      <c r="T14" s="47">
        <v>0.66920259937163851</v>
      </c>
      <c r="U14" s="46">
        <v>0.27688730575693993</v>
      </c>
      <c r="V14" s="47">
        <v>0.22137434470840667</v>
      </c>
      <c r="W14" s="47">
        <v>0.29529018450306327</v>
      </c>
      <c r="X14" s="47">
        <v>9.9180184323664461E-2</v>
      </c>
      <c r="Y14" s="47">
        <v>2.8639740348026615E-2</v>
      </c>
      <c r="Z14" s="47">
        <v>7.8628240359898849E-2</v>
      </c>
      <c r="AA14" s="46">
        <f t="shared" si="1"/>
        <v>0.49826165046534659</v>
      </c>
      <c r="AB14" s="46">
        <v>0.11670431939890002</v>
      </c>
      <c r="AC14" s="47">
        <v>7.2135876905861332E-2</v>
      </c>
      <c r="AD14" s="47">
        <v>4.189344878215321E-2</v>
      </c>
      <c r="AE14" s="47">
        <v>2.5242813527913018E-2</v>
      </c>
      <c r="AF14" s="47">
        <v>1.4182775481586534E-2</v>
      </c>
      <c r="AG14" s="47">
        <v>1.0455287817579409E-2</v>
      </c>
      <c r="AH14" s="47">
        <v>6.8307453564806176E-3</v>
      </c>
      <c r="AI14" s="47">
        <v>4.6750918703747056E-3</v>
      </c>
      <c r="AJ14" s="47">
        <v>3.16982536221449E-3</v>
      </c>
      <c r="AK14" s="46">
        <v>6.0536514434485315E-3</v>
      </c>
      <c r="AL14" s="47">
        <v>5.1822742611647536E-2</v>
      </c>
      <c r="AM14" s="47">
        <v>2.1431170114541858E-2</v>
      </c>
      <c r="AN14" s="47">
        <v>1.2425084222245196E-2</v>
      </c>
      <c r="AO14" s="47">
        <v>4.9369145335872609E-3</v>
      </c>
      <c r="AP14" s="47">
        <v>1.6693442791635062E-3</v>
      </c>
      <c r="AQ14" s="47">
        <v>8.4127711903058278E-4</v>
      </c>
      <c r="AR14" s="46">
        <v>4.7244377384248276E-2</v>
      </c>
      <c r="AS14" s="47">
        <v>2.0507615737294656E-2</v>
      </c>
      <c r="AT14" s="47">
        <v>7.1599158856296627E-3</v>
      </c>
      <c r="AU14" s="47">
        <v>2.6029262482013668E-3</v>
      </c>
      <c r="AV14" s="63">
        <v>1.1134051045248877E-3</v>
      </c>
    </row>
    <row r="15" spans="1:48" x14ac:dyDescent="0.25">
      <c r="A15" s="54" t="s">
        <v>14</v>
      </c>
      <c r="B15" s="52">
        <v>1</v>
      </c>
      <c r="C15" s="28">
        <v>0.1</v>
      </c>
      <c r="D15" s="29">
        <v>8.2608000000000001E-2</v>
      </c>
      <c r="E15" s="29">
        <v>0.3</v>
      </c>
      <c r="F15" s="29">
        <v>0.51739299999999999</v>
      </c>
      <c r="G15" s="30">
        <v>273.37868400000002</v>
      </c>
      <c r="H15" s="31">
        <v>1.3162309999999999</v>
      </c>
      <c r="I15" s="32">
        <v>37476.206378000003</v>
      </c>
      <c r="J15" s="33">
        <v>584.32000000000005</v>
      </c>
      <c r="K15" s="103" t="s">
        <v>18</v>
      </c>
      <c r="L15" s="34">
        <v>0.10103325</v>
      </c>
      <c r="M15" s="35">
        <v>0.11953509999999999</v>
      </c>
      <c r="N15" s="35">
        <v>0.27670119999999998</v>
      </c>
      <c r="O15" s="35">
        <v>0.50273045000000005</v>
      </c>
      <c r="P15" s="30">
        <v>273.37868400000002</v>
      </c>
      <c r="Q15" s="31">
        <v>1.3162309999999999</v>
      </c>
      <c r="R15" s="32">
        <v>37454.545454545456</v>
      </c>
      <c r="S15" s="30">
        <v>433.04217204272288</v>
      </c>
      <c r="T15" s="35">
        <v>0.30601189769637138</v>
      </c>
      <c r="U15" s="34">
        <v>0.18192829475931402</v>
      </c>
      <c r="V15" s="35">
        <v>0.17795684308276566</v>
      </c>
      <c r="W15" s="35">
        <v>0.27357761890709759</v>
      </c>
      <c r="X15" s="35">
        <v>0.21224443266791349</v>
      </c>
      <c r="Y15" s="35">
        <v>3.6606487082050373E-2</v>
      </c>
      <c r="Z15" s="35">
        <v>0.11768632350085881</v>
      </c>
      <c r="AA15" s="34">
        <f t="shared" si="1"/>
        <v>0.35988513784207965</v>
      </c>
      <c r="AB15" s="34">
        <v>0.10589071332013261</v>
      </c>
      <c r="AC15" s="35">
        <v>5.424423987704026E-2</v>
      </c>
      <c r="AD15" s="35">
        <v>3.751136814596133E-2</v>
      </c>
      <c r="AE15" s="35">
        <v>2.4570943857502095E-2</v>
      </c>
      <c r="AF15" s="35">
        <v>1.7031066039412408E-2</v>
      </c>
      <c r="AG15" s="35">
        <v>1.3485701923688264E-2</v>
      </c>
      <c r="AH15" s="35">
        <v>9.3122426650583297E-3</v>
      </c>
      <c r="AI15" s="35">
        <v>6.6976522596224192E-3</v>
      </c>
      <c r="AJ15" s="35">
        <v>4.8336908186799241E-3</v>
      </c>
      <c r="AK15" s="34">
        <v>1.7340496821627152E-2</v>
      </c>
      <c r="AL15" s="35">
        <v>9.6812012097357625E-2</v>
      </c>
      <c r="AM15" s="35">
        <v>4.9296065276332027E-2</v>
      </c>
      <c r="AN15" s="35">
        <v>2.9083556980531763E-2</v>
      </c>
      <c r="AO15" s="35">
        <v>1.1865714070130621E-2</v>
      </c>
      <c r="AP15" s="35">
        <v>5.2961093811682361E-3</v>
      </c>
      <c r="AQ15" s="35">
        <v>2.550478040766092E-3</v>
      </c>
      <c r="AR15" s="34">
        <v>5.9950714021279571E-2</v>
      </c>
      <c r="AS15" s="35">
        <v>3.4454146078124755E-2</v>
      </c>
      <c r="AT15" s="35">
        <v>1.405568038246699E-2</v>
      </c>
      <c r="AU15" s="35">
        <v>6.4034227466506126E-3</v>
      </c>
      <c r="AV15" s="62">
        <v>2.8223602723368791E-3</v>
      </c>
    </row>
    <row r="16" spans="1:48" x14ac:dyDescent="0.25">
      <c r="B16" s="10">
        <v>2</v>
      </c>
      <c r="C16" s="28">
        <v>0.1</v>
      </c>
      <c r="D16" s="29">
        <v>0.14329700000000001</v>
      </c>
      <c r="E16" s="29">
        <v>0.221972</v>
      </c>
      <c r="F16" s="29">
        <v>0.53473099999999996</v>
      </c>
      <c r="G16" s="30">
        <v>278.25688700000001</v>
      </c>
      <c r="H16" s="31">
        <v>1.398827</v>
      </c>
      <c r="I16" s="32">
        <v>36903.717218999998</v>
      </c>
      <c r="J16" s="33">
        <v>592.34</v>
      </c>
      <c r="K16" s="104"/>
      <c r="L16" s="34">
        <v>0.10103325</v>
      </c>
      <c r="M16" s="35">
        <v>0.11953509999999999</v>
      </c>
      <c r="N16" s="35">
        <v>0.27670119999999998</v>
      </c>
      <c r="O16" s="35">
        <v>0.50273045000000005</v>
      </c>
      <c r="P16" s="30">
        <v>278.25688700000001</v>
      </c>
      <c r="Q16" s="31">
        <v>1.398827</v>
      </c>
      <c r="R16" s="32">
        <v>36909.090909090912</v>
      </c>
      <c r="S16" s="30">
        <v>491.82396676991073</v>
      </c>
      <c r="T16" s="35">
        <v>0.37614802201406744</v>
      </c>
      <c r="U16" s="34">
        <v>0.21337427556198144</v>
      </c>
      <c r="V16" s="35">
        <v>0.17868104992183928</v>
      </c>
      <c r="W16" s="35">
        <v>0.27595678909788957</v>
      </c>
      <c r="X16" s="35">
        <v>0.19367746594959098</v>
      </c>
      <c r="Y16" s="35">
        <v>3.1598257633183593E-2</v>
      </c>
      <c r="Z16" s="35">
        <v>0.10671216183551503</v>
      </c>
      <c r="AA16" s="34">
        <f t="shared" si="1"/>
        <v>0.39205532548382072</v>
      </c>
      <c r="AB16" s="34">
        <v>0.10618058148139539</v>
      </c>
      <c r="AC16" s="35">
        <v>5.6186255771056848E-2</v>
      </c>
      <c r="AD16" s="35">
        <v>3.8219041957921938E-2</v>
      </c>
      <c r="AE16" s="35">
        <v>2.4974535448347497E-2</v>
      </c>
      <c r="AF16" s="35">
        <v>1.6999633609579297E-2</v>
      </c>
      <c r="AG16" s="35">
        <v>1.3261999812300602E-2</v>
      </c>
      <c r="AH16" s="35">
        <v>9.2148863386298917E-3</v>
      </c>
      <c r="AI16" s="35">
        <v>6.4767657969231661E-3</v>
      </c>
      <c r="AJ16" s="35">
        <v>4.4430888817349433E-3</v>
      </c>
      <c r="AK16" s="34">
        <v>1.3830322214882304E-2</v>
      </c>
      <c r="AL16" s="35">
        <v>9.0108109502528969E-2</v>
      </c>
      <c r="AM16" s="35">
        <v>4.508870817488228E-2</v>
      </c>
      <c r="AN16" s="35">
        <v>2.6797396871144716E-2</v>
      </c>
      <c r="AO16" s="35">
        <v>1.0797652552351969E-2</v>
      </c>
      <c r="AP16" s="35">
        <v>4.7273839122824665E-3</v>
      </c>
      <c r="AQ16" s="35">
        <v>2.327892721518298E-3</v>
      </c>
      <c r="AR16" s="34">
        <v>5.5290470133492434E-2</v>
      </c>
      <c r="AS16" s="35">
        <v>3.1235906553891878E-2</v>
      </c>
      <c r="AT16" s="35">
        <v>1.2062749143354781E-2</v>
      </c>
      <c r="AU16" s="35">
        <v>5.6368009920472976E-3</v>
      </c>
      <c r="AV16" s="62">
        <v>2.4862350127286409E-3</v>
      </c>
    </row>
    <row r="17" spans="1:48" x14ac:dyDescent="0.25">
      <c r="B17" s="10">
        <v>3</v>
      </c>
      <c r="C17" s="28">
        <v>0.1</v>
      </c>
      <c r="D17" s="29">
        <v>0.105377</v>
      </c>
      <c r="E17" s="29">
        <v>0.19605300000000001</v>
      </c>
      <c r="F17" s="29">
        <v>0.59857000000000005</v>
      </c>
      <c r="G17" s="30">
        <v>277.36818</v>
      </c>
      <c r="H17" s="31">
        <v>1.4326700000000001</v>
      </c>
      <c r="I17" s="32">
        <v>38058.053268999996</v>
      </c>
      <c r="J17" s="33">
        <v>633.29999999999995</v>
      </c>
      <c r="K17" s="105" t="s">
        <v>10</v>
      </c>
      <c r="L17" s="34">
        <v>0.10368715000000001</v>
      </c>
      <c r="M17" s="35">
        <v>8.9899065E-2</v>
      </c>
      <c r="N17" s="35">
        <v>0.19748195000000002</v>
      </c>
      <c r="O17" s="35">
        <v>0.60893174999999999</v>
      </c>
      <c r="P17" s="30">
        <v>277.36818</v>
      </c>
      <c r="Q17" s="31">
        <v>1.4326700000000001</v>
      </c>
      <c r="R17" s="32">
        <v>38062.5</v>
      </c>
      <c r="S17" s="30">
        <v>532.46644677020095</v>
      </c>
      <c r="T17" s="35">
        <v>0.41208757277637292</v>
      </c>
      <c r="U17" s="34">
        <v>0.21317106204920655</v>
      </c>
      <c r="V17" s="35">
        <v>0.21018440946021569</v>
      </c>
      <c r="W17" s="35">
        <v>0.26034777186773256</v>
      </c>
      <c r="X17" s="35">
        <v>0.16211423289110935</v>
      </c>
      <c r="Y17" s="35">
        <v>4.1431408385796585E-2</v>
      </c>
      <c r="Z17" s="35">
        <v>0.11275111534593862</v>
      </c>
      <c r="AA17" s="34">
        <f t="shared" si="1"/>
        <v>0.42335547150942221</v>
      </c>
      <c r="AB17" s="34">
        <v>0.10164824399796894</v>
      </c>
      <c r="AC17" s="35">
        <v>5.1501235626693932E-2</v>
      </c>
      <c r="AD17" s="35">
        <v>3.8191459975890664E-2</v>
      </c>
      <c r="AE17" s="35">
        <v>2.441026570328661E-2</v>
      </c>
      <c r="AF17" s="35">
        <v>1.5315871552854896E-2</v>
      </c>
      <c r="AG17" s="35">
        <v>1.0555345885727716E-2</v>
      </c>
      <c r="AH17" s="35">
        <v>7.4953966966356351E-3</v>
      </c>
      <c r="AI17" s="35">
        <v>5.7215674797591624E-3</v>
      </c>
      <c r="AJ17" s="35">
        <v>5.5083849489150618E-3</v>
      </c>
      <c r="AK17" s="34">
        <v>1.3220828672426729E-2</v>
      </c>
      <c r="AL17" s="35">
        <v>7.7786335974145915E-2</v>
      </c>
      <c r="AM17" s="35">
        <v>3.6131499039546731E-2</v>
      </c>
      <c r="AN17" s="35">
        <v>2.1954257014863185E-2</v>
      </c>
      <c r="AO17" s="35">
        <v>8.0100626881916825E-3</v>
      </c>
      <c r="AP17" s="35">
        <v>3.2570695679431938E-3</v>
      </c>
      <c r="AQ17" s="35">
        <v>1.7541799339919045E-3</v>
      </c>
      <c r="AR17" s="34">
        <v>6.6065298821377919E-2</v>
      </c>
      <c r="AS17" s="35">
        <v>3.0319533276327065E-2</v>
      </c>
      <c r="AT17" s="35">
        <v>1.0507709137964248E-2</v>
      </c>
      <c r="AU17" s="35">
        <v>4.4918797042027732E-3</v>
      </c>
      <c r="AV17" s="62">
        <v>1.3666944060666136E-3</v>
      </c>
    </row>
    <row r="18" spans="1:48" x14ac:dyDescent="0.25">
      <c r="B18" s="10">
        <v>4</v>
      </c>
      <c r="C18" s="28">
        <v>0.1</v>
      </c>
      <c r="D18" s="29">
        <v>0.14374300000000001</v>
      </c>
      <c r="E18" s="29">
        <v>0.19434899999999999</v>
      </c>
      <c r="F18" s="29">
        <v>0.56190799999999996</v>
      </c>
      <c r="G18" s="30">
        <v>274.31159200000002</v>
      </c>
      <c r="H18" s="31">
        <v>2.0249929999999998</v>
      </c>
      <c r="I18" s="32">
        <v>37608.230631999999</v>
      </c>
      <c r="J18" s="33">
        <v>546.27</v>
      </c>
      <c r="K18" s="105"/>
      <c r="L18" s="34">
        <v>0.10739944999999999</v>
      </c>
      <c r="M18" s="35">
        <v>0.16918714999999998</v>
      </c>
      <c r="N18" s="35">
        <v>0.1567192</v>
      </c>
      <c r="O18" s="35">
        <v>0.56669420000000004</v>
      </c>
      <c r="P18" s="30">
        <v>274.31159200000002</v>
      </c>
      <c r="Q18" s="31">
        <v>2</v>
      </c>
      <c r="R18" s="32">
        <v>37588.23529411765</v>
      </c>
      <c r="S18" s="30">
        <v>599.17314763582863</v>
      </c>
      <c r="T18" s="35">
        <v>0.47085879818404863</v>
      </c>
      <c r="U18" s="34">
        <v>0.18794184180326035</v>
      </c>
      <c r="V18" s="35">
        <v>0.2436493820370855</v>
      </c>
      <c r="W18" s="35">
        <v>0.28180761938469978</v>
      </c>
      <c r="X18" s="35">
        <v>0.10548884948109467</v>
      </c>
      <c r="Y18" s="35">
        <v>6.1958971841924018E-2</v>
      </c>
      <c r="Z18" s="35">
        <v>0.11915333545193554</v>
      </c>
      <c r="AA18" s="34">
        <f t="shared" si="1"/>
        <v>0.43159122384034587</v>
      </c>
      <c r="AB18" s="34">
        <v>0.11621559656457274</v>
      </c>
      <c r="AC18" s="35">
        <v>6.5400850080544609E-2</v>
      </c>
      <c r="AD18" s="35">
        <v>3.9109476906940138E-2</v>
      </c>
      <c r="AE18" s="35">
        <v>2.3255657325107447E-2</v>
      </c>
      <c r="AF18" s="35">
        <v>1.3844816562335851E-2</v>
      </c>
      <c r="AG18" s="35">
        <v>1.0068097093977543E-2</v>
      </c>
      <c r="AH18" s="35">
        <v>6.4388101248502097E-3</v>
      </c>
      <c r="AI18" s="35">
        <v>4.4483213130649931E-3</v>
      </c>
      <c r="AJ18" s="35">
        <v>3.0259934133062944E-3</v>
      </c>
      <c r="AK18" s="34">
        <v>7.1571091524869259E-3</v>
      </c>
      <c r="AL18" s="35">
        <v>5.5489343512839254E-2</v>
      </c>
      <c r="AM18" s="35">
        <v>2.23551220328553E-2</v>
      </c>
      <c r="AN18" s="35">
        <v>1.325190113304334E-2</v>
      </c>
      <c r="AO18" s="35">
        <v>4.8927731476035331E-3</v>
      </c>
      <c r="AP18" s="35">
        <v>1.613564107880439E-3</v>
      </c>
      <c r="AQ18" s="35">
        <v>7.29036394385886E-4</v>
      </c>
      <c r="AR18" s="34">
        <v>7.2344803898116428E-2</v>
      </c>
      <c r="AS18" s="35">
        <v>3.0527495423837977E-2</v>
      </c>
      <c r="AT18" s="35">
        <v>1.053648319235939E-2</v>
      </c>
      <c r="AU18" s="35">
        <v>4.1845920263172808E-3</v>
      </c>
      <c r="AV18" s="62">
        <v>1.5599609113044581E-3</v>
      </c>
    </row>
    <row r="19" spans="1:48" x14ac:dyDescent="0.25">
      <c r="B19" s="10">
        <v>5</v>
      </c>
      <c r="C19" s="28">
        <v>0.1</v>
      </c>
      <c r="D19" s="29">
        <v>0.112278</v>
      </c>
      <c r="E19" s="29">
        <v>0.15667900000000001</v>
      </c>
      <c r="F19" s="29">
        <v>0.63104300000000002</v>
      </c>
      <c r="G19" s="30">
        <v>279.50865800000003</v>
      </c>
      <c r="H19" s="31">
        <v>1.714996</v>
      </c>
      <c r="I19" s="32">
        <v>48178.970229999999</v>
      </c>
      <c r="J19" s="33">
        <v>625.15</v>
      </c>
      <c r="K19" s="105"/>
      <c r="L19" s="34">
        <v>0.128</v>
      </c>
      <c r="M19" s="35">
        <v>0.107</v>
      </c>
      <c r="N19" s="35">
        <v>0.161</v>
      </c>
      <c r="O19" s="35">
        <v>0.60499999999999998</v>
      </c>
      <c r="P19" s="30">
        <v>279.50865800000003</v>
      </c>
      <c r="Q19" s="31">
        <v>1.714996</v>
      </c>
      <c r="R19" s="32">
        <v>48240</v>
      </c>
      <c r="S19" s="30">
        <v>640.68376095491169</v>
      </c>
      <c r="T19" s="35">
        <v>0.36849626297000482</v>
      </c>
      <c r="U19" s="34">
        <v>0.17763346684090653</v>
      </c>
      <c r="V19" s="35">
        <v>0.23366748902025969</v>
      </c>
      <c r="W19" s="35">
        <v>0.26295773866407979</v>
      </c>
      <c r="X19" s="35">
        <v>0.14488766294258357</v>
      </c>
      <c r="Y19" s="35">
        <v>5.6445072686346333E-2</v>
      </c>
      <c r="Z19" s="35">
        <v>0.12440856984582421</v>
      </c>
      <c r="AA19" s="34">
        <f t="shared" si="1"/>
        <v>0.41130095586116622</v>
      </c>
      <c r="AB19" s="34">
        <v>0.11158133483279654</v>
      </c>
      <c r="AC19" s="35">
        <v>5.553799995683667E-2</v>
      </c>
      <c r="AD19" s="35">
        <v>3.5788185530565723E-2</v>
      </c>
      <c r="AE19" s="35">
        <v>2.1762140336773924E-2</v>
      </c>
      <c r="AF19" s="35">
        <v>1.3555811189855748E-2</v>
      </c>
      <c r="AG19" s="35">
        <v>1.0156522170092509E-2</v>
      </c>
      <c r="AH19" s="35">
        <v>6.6752604725101028E-3</v>
      </c>
      <c r="AI19" s="35">
        <v>4.7039921971609383E-3</v>
      </c>
      <c r="AJ19" s="35">
        <v>3.1964919774876859E-3</v>
      </c>
      <c r="AK19" s="34">
        <v>1.2755287827565041E-2</v>
      </c>
      <c r="AL19" s="35">
        <v>7.1226904023128132E-2</v>
      </c>
      <c r="AM19" s="35">
        <v>3.1601620126871656E-2</v>
      </c>
      <c r="AN19" s="35">
        <v>1.853618751086937E-2</v>
      </c>
      <c r="AO19" s="35">
        <v>6.8323142444382369E-3</v>
      </c>
      <c r="AP19" s="35">
        <v>2.6896805267537186E-3</v>
      </c>
      <c r="AQ19" s="35">
        <v>1.2456686829574561E-3</v>
      </c>
      <c r="AR19" s="34">
        <v>7.5489615154277101E-2</v>
      </c>
      <c r="AS19" s="35">
        <v>3.2310664009826948E-2</v>
      </c>
      <c r="AT19" s="35">
        <v>1.0332238298070289E-2</v>
      </c>
      <c r="AU19" s="35">
        <v>4.5911661707490571E-3</v>
      </c>
      <c r="AV19" s="62">
        <v>1.6848862129008196E-3</v>
      </c>
    </row>
    <row r="20" spans="1:48" x14ac:dyDescent="0.25">
      <c r="A20" s="15"/>
      <c r="B20" s="15">
        <v>6</v>
      </c>
      <c r="C20" s="40">
        <v>0.1</v>
      </c>
      <c r="D20" s="41">
        <v>0.103795</v>
      </c>
      <c r="E20" s="41">
        <v>0.104528</v>
      </c>
      <c r="F20" s="41">
        <v>0.69167699999999999</v>
      </c>
      <c r="G20" s="42">
        <v>280.89226000000002</v>
      </c>
      <c r="H20" s="43">
        <v>1.7134590000000001</v>
      </c>
      <c r="I20" s="44">
        <v>49499.545586</v>
      </c>
      <c r="J20" s="45">
        <v>616.46</v>
      </c>
      <c r="K20" s="106"/>
      <c r="L20" s="46">
        <v>9.4631190000000004E-2</v>
      </c>
      <c r="M20" s="47">
        <v>9.6226400000000004E-2</v>
      </c>
      <c r="N20" s="47">
        <v>0.11274869999999999</v>
      </c>
      <c r="O20" s="47">
        <v>0.6963937</v>
      </c>
      <c r="P20" s="42">
        <v>280.89226000000002</v>
      </c>
      <c r="Q20" s="43">
        <v>1.7134590000000001</v>
      </c>
      <c r="R20" s="44">
        <v>49440.000000000007</v>
      </c>
      <c r="S20" s="42">
        <v>672.25940133574898</v>
      </c>
      <c r="T20" s="47">
        <v>0.49081763270770873</v>
      </c>
      <c r="U20" s="46">
        <v>0.2455975181126322</v>
      </c>
      <c r="V20" s="47">
        <v>0.20652832141037583</v>
      </c>
      <c r="W20" s="47">
        <v>0.26583451599965419</v>
      </c>
      <c r="X20" s="47">
        <v>0.14506535814452462</v>
      </c>
      <c r="Y20" s="47">
        <v>4.1472193131449238E-2</v>
      </c>
      <c r="Z20" s="47">
        <v>9.5502093201364088E-2</v>
      </c>
      <c r="AA20" s="46">
        <f t="shared" si="1"/>
        <v>0.452125839523008</v>
      </c>
      <c r="AB20" s="46">
        <v>0.10011304938038366</v>
      </c>
      <c r="AC20" s="47">
        <v>5.4813972141027088E-2</v>
      </c>
      <c r="AD20" s="47">
        <v>3.4651927758314188E-2</v>
      </c>
      <c r="AE20" s="47">
        <v>2.675951164380673E-2</v>
      </c>
      <c r="AF20" s="47">
        <v>1.6621420602402206E-2</v>
      </c>
      <c r="AG20" s="47">
        <v>1.2005172958541097E-2</v>
      </c>
      <c r="AH20" s="47">
        <v>8.3622506605998889E-3</v>
      </c>
      <c r="AI20" s="47">
        <v>7.1804964126260425E-3</v>
      </c>
      <c r="AJ20" s="47">
        <v>5.3267144419533079E-3</v>
      </c>
      <c r="AK20" s="46">
        <v>1.0866569778618454E-2</v>
      </c>
      <c r="AL20" s="47">
        <v>6.8812788929055194E-2</v>
      </c>
      <c r="AM20" s="47">
        <v>3.2127881531256224E-2</v>
      </c>
      <c r="AN20" s="47">
        <v>2.0745235696040185E-2</v>
      </c>
      <c r="AO20" s="47">
        <v>7.4838333620456049E-3</v>
      </c>
      <c r="AP20" s="47">
        <v>3.2663651253942209E-3</v>
      </c>
      <c r="AQ20" s="47">
        <v>1.7626837221147473E-3</v>
      </c>
      <c r="AR20" s="46">
        <v>5.6073701822285014E-2</v>
      </c>
      <c r="AS20" s="47">
        <v>2.5030245848682738E-2</v>
      </c>
      <c r="AT20" s="47">
        <v>9.0659164134700709E-3</v>
      </c>
      <c r="AU20" s="47">
        <v>4.0942453800258899E-3</v>
      </c>
      <c r="AV20" s="63">
        <v>1.2379837369003728E-3</v>
      </c>
    </row>
    <row r="21" spans="1:48" x14ac:dyDescent="0.25">
      <c r="A21" s="27" t="s">
        <v>15</v>
      </c>
      <c r="B21" s="52">
        <v>1</v>
      </c>
      <c r="C21" s="28">
        <v>0.1</v>
      </c>
      <c r="D21" s="29">
        <v>0.14060500000000001</v>
      </c>
      <c r="E21" s="29">
        <v>0.19056200000000001</v>
      </c>
      <c r="F21" s="29">
        <v>0.56883300000000003</v>
      </c>
      <c r="G21" s="30">
        <v>280.45472999999998</v>
      </c>
      <c r="H21" s="31">
        <v>2.1968420000000002</v>
      </c>
      <c r="I21" s="32">
        <v>39732.669627000003</v>
      </c>
      <c r="J21" s="33">
        <v>563.09363499999995</v>
      </c>
      <c r="K21" s="83" t="s">
        <v>18</v>
      </c>
      <c r="L21" s="34">
        <v>7.2722123095563682E-2</v>
      </c>
      <c r="M21" s="35">
        <v>0.15279761311351878</v>
      </c>
      <c r="N21" s="35">
        <v>0.19490154380972433</v>
      </c>
      <c r="O21" s="35">
        <v>0.57957871998119326</v>
      </c>
      <c r="P21" s="30">
        <v>280.5</v>
      </c>
      <c r="Q21" s="31">
        <v>2.21</v>
      </c>
      <c r="R21" s="32">
        <v>39705.882352941175</v>
      </c>
      <c r="S21" s="30">
        <v>518.66829394801607</v>
      </c>
      <c r="T21" s="35">
        <v>0.52783984810553231</v>
      </c>
      <c r="U21" s="34">
        <v>0.19875338290903555</v>
      </c>
      <c r="V21" s="35">
        <v>0.23506074618075593</v>
      </c>
      <c r="W21" s="35">
        <v>0.31504820282423701</v>
      </c>
      <c r="X21" s="35">
        <v>0.10666239576830716</v>
      </c>
      <c r="Y21" s="35">
        <v>4.3827030033942942E-2</v>
      </c>
      <c r="Z21" s="35">
        <v>0.10064824228372155</v>
      </c>
      <c r="AA21" s="34">
        <f t="shared" si="1"/>
        <v>0.43381412908979144</v>
      </c>
      <c r="AB21" s="34">
        <v>0.12018627431529035</v>
      </c>
      <c r="AC21" s="35">
        <v>7.4531861711141539E-2</v>
      </c>
      <c r="AD21" s="35">
        <v>4.2230766130366228E-2</v>
      </c>
      <c r="AE21" s="35">
        <v>2.9554140538176704E-2</v>
      </c>
      <c r="AF21" s="35">
        <v>1.7023216156371698E-2</v>
      </c>
      <c r="AG21" s="35">
        <v>1.1273261641633036E-2</v>
      </c>
      <c r="AH21" s="35">
        <v>7.6696356686360755E-3</v>
      </c>
      <c r="AI21" s="35">
        <v>7.5954262094199976E-3</v>
      </c>
      <c r="AJ21" s="35">
        <v>4.9836204532013239E-3</v>
      </c>
      <c r="AK21" s="34">
        <v>6.3015558463154113E-3</v>
      </c>
      <c r="AL21" s="35">
        <v>5.8294401048499998E-2</v>
      </c>
      <c r="AM21" s="35">
        <v>2.2631919631980312E-2</v>
      </c>
      <c r="AN21" s="35">
        <v>1.2619130446431226E-2</v>
      </c>
      <c r="AO21" s="35">
        <v>4.621047570698005E-3</v>
      </c>
      <c r="AP21" s="35">
        <v>1.3900536495445315E-3</v>
      </c>
      <c r="AQ21" s="35">
        <v>8.0428757483766574E-4</v>
      </c>
      <c r="AR21" s="34">
        <v>5.8541967091390451E-2</v>
      </c>
      <c r="AS21" s="35">
        <v>2.7814058831539163E-2</v>
      </c>
      <c r="AT21" s="35">
        <v>9.6450383626903325E-3</v>
      </c>
      <c r="AU21" s="35">
        <v>3.5767958098169351E-3</v>
      </c>
      <c r="AV21" s="62">
        <v>1.070382188284681E-3</v>
      </c>
    </row>
    <row r="22" spans="1:48" x14ac:dyDescent="0.25">
      <c r="B22" s="10">
        <v>2</v>
      </c>
      <c r="C22" s="28">
        <v>0.1</v>
      </c>
      <c r="D22" s="29">
        <v>0.19999700000000001</v>
      </c>
      <c r="E22" s="29">
        <v>0.05</v>
      </c>
      <c r="F22" s="29">
        <v>0.65000199999999997</v>
      </c>
      <c r="G22" s="30">
        <v>281.58521100000002</v>
      </c>
      <c r="H22" s="31">
        <v>2.2438280000000002</v>
      </c>
      <c r="I22" s="32">
        <v>50003.647829000001</v>
      </c>
      <c r="J22" s="33">
        <v>639.25180899999998</v>
      </c>
      <c r="K22" s="105" t="s">
        <v>10</v>
      </c>
      <c r="L22" s="34">
        <v>7.0366186001144831E-2</v>
      </c>
      <c r="M22" s="35">
        <v>0.22451981643410274</v>
      </c>
      <c r="N22" s="35">
        <v>4.9378073816253969E-2</v>
      </c>
      <c r="O22" s="35">
        <v>0.65573592374849843</v>
      </c>
      <c r="P22" s="30">
        <v>281.60000000000002</v>
      </c>
      <c r="Q22" s="31">
        <v>2.21</v>
      </c>
      <c r="R22" s="32">
        <v>50000</v>
      </c>
      <c r="S22" s="30">
        <v>583.99107090031794</v>
      </c>
      <c r="T22" s="35">
        <v>0.50919884059598408</v>
      </c>
      <c r="U22" s="34">
        <v>0.2160035608137475</v>
      </c>
      <c r="V22" s="35">
        <v>0.22012091695704472</v>
      </c>
      <c r="W22" s="35">
        <v>0.30094514631829294</v>
      </c>
      <c r="X22" s="35">
        <v>0.11808822232686592</v>
      </c>
      <c r="Y22" s="35">
        <v>5.120659275498262E-2</v>
      </c>
      <c r="Z22" s="35">
        <v>9.3635560829066489E-2</v>
      </c>
      <c r="AA22" s="34">
        <f t="shared" si="1"/>
        <v>0.43612447777079222</v>
      </c>
      <c r="AB22" s="34">
        <v>0.10513291113905486</v>
      </c>
      <c r="AC22" s="35">
        <v>6.3916324961588458E-2</v>
      </c>
      <c r="AD22" s="35">
        <v>4.1293343080377271E-2</v>
      </c>
      <c r="AE22" s="35">
        <v>3.3617135045347524E-2</v>
      </c>
      <c r="AF22" s="35">
        <v>1.9528179499784467E-2</v>
      </c>
      <c r="AG22" s="35">
        <v>1.427120653241735E-2</v>
      </c>
      <c r="AH22" s="35">
        <v>9.5179861600999185E-3</v>
      </c>
      <c r="AI22" s="35">
        <v>7.7261260005234604E-3</v>
      </c>
      <c r="AJ22" s="35">
        <v>5.9419338990996219E-3</v>
      </c>
      <c r="AK22" s="34">
        <v>8.1177617062869484E-3</v>
      </c>
      <c r="AL22" s="35">
        <v>6.0859238651321666E-2</v>
      </c>
      <c r="AM22" s="35">
        <v>2.4167544670882307E-2</v>
      </c>
      <c r="AN22" s="35">
        <v>1.5606630097420068E-2</v>
      </c>
      <c r="AO22" s="35">
        <v>5.714199143045902E-3</v>
      </c>
      <c r="AP22" s="35">
        <v>2.2629868411995339E-3</v>
      </c>
      <c r="AQ22" s="35">
        <v>1.3598612167094808E-3</v>
      </c>
      <c r="AR22" s="34">
        <v>5.7473584505614843E-2</v>
      </c>
      <c r="AS22" s="35">
        <v>2.3115723520675192E-2</v>
      </c>
      <c r="AT22" s="35">
        <v>8.4854748956425027E-3</v>
      </c>
      <c r="AU22" s="35">
        <v>3.5627025015876508E-3</v>
      </c>
      <c r="AV22" s="62">
        <v>9.9807540554630917E-4</v>
      </c>
    </row>
    <row r="23" spans="1:48" x14ac:dyDescent="0.25">
      <c r="B23" s="10">
        <v>3</v>
      </c>
      <c r="C23" s="28">
        <v>0.1</v>
      </c>
      <c r="D23" s="29">
        <v>5.0004E-2</v>
      </c>
      <c r="E23" s="29">
        <v>0.13743900000000001</v>
      </c>
      <c r="F23" s="29">
        <v>0.712557</v>
      </c>
      <c r="G23" s="30">
        <v>282.09353900000002</v>
      </c>
      <c r="H23" s="31">
        <v>1.7631619999999999</v>
      </c>
      <c r="I23" s="32">
        <v>55188.641350999998</v>
      </c>
      <c r="J23" s="33">
        <v>679.695786</v>
      </c>
      <c r="K23" s="105"/>
      <c r="L23" s="34">
        <v>0.1077496</v>
      </c>
      <c r="M23" s="35">
        <v>5.5916199999999999E-2</v>
      </c>
      <c r="N23" s="35">
        <v>0.1289884</v>
      </c>
      <c r="O23" s="35">
        <v>0.70734575000000011</v>
      </c>
      <c r="P23" s="65">
        <v>282.10000000000002</v>
      </c>
      <c r="Q23" s="10">
        <v>1.76</v>
      </c>
      <c r="R23" s="32">
        <v>55200</v>
      </c>
      <c r="S23" s="30">
        <v>756.28059419083729</v>
      </c>
      <c r="T23" s="35">
        <v>0.43605036353049248</v>
      </c>
      <c r="U23" s="34">
        <v>0.20536712726203576</v>
      </c>
      <c r="V23" s="35">
        <v>0.22965620792672298</v>
      </c>
      <c r="W23" s="35">
        <v>0.27655731079518453</v>
      </c>
      <c r="X23" s="35">
        <v>0.13087517603625937</v>
      </c>
      <c r="Y23" s="35">
        <v>5.0745108510191789E-2</v>
      </c>
      <c r="Z23" s="35">
        <v>0.10679906946960564</v>
      </c>
      <c r="AA23" s="34">
        <f t="shared" si="1"/>
        <v>0.43502333518875874</v>
      </c>
      <c r="AB23" s="34">
        <v>0.10596867330125956</v>
      </c>
      <c r="AC23" s="35">
        <v>5.9654954949360475E-2</v>
      </c>
      <c r="AD23" s="35">
        <v>4.0150620844361398E-2</v>
      </c>
      <c r="AE23" s="35">
        <v>2.5921431653359986E-2</v>
      </c>
      <c r="AF23" s="35">
        <v>1.5982636324794561E-2</v>
      </c>
      <c r="AG23" s="35">
        <v>1.1921769432669638E-2</v>
      </c>
      <c r="AH23" s="35">
        <v>7.892876387293685E-3</v>
      </c>
      <c r="AI23" s="35">
        <v>5.4342472139920998E-3</v>
      </c>
      <c r="AJ23" s="35">
        <v>3.6301006880931136E-3</v>
      </c>
      <c r="AK23" s="34">
        <v>1.0240275080801737E-2</v>
      </c>
      <c r="AL23" s="35">
        <v>6.5146212860761818E-2</v>
      </c>
      <c r="AM23" s="35">
        <v>2.8479663672309884E-2</v>
      </c>
      <c r="AN23" s="35">
        <v>1.6883068745209274E-2</v>
      </c>
      <c r="AO23" s="35">
        <v>6.3045722675906879E-3</v>
      </c>
      <c r="AP23" s="35">
        <v>2.5683438758901268E-3</v>
      </c>
      <c r="AQ23" s="35">
        <v>1.2530395336958228E-3</v>
      </c>
      <c r="AR23" s="34">
        <v>6.5809820094345092E-2</v>
      </c>
      <c r="AS23" s="35">
        <v>2.7371550384386354E-2</v>
      </c>
      <c r="AT23" s="35">
        <v>8.56824471676817E-3</v>
      </c>
      <c r="AU23" s="35">
        <v>3.7249803379488565E-3</v>
      </c>
      <c r="AV23" s="62">
        <v>1.3244739361571673E-3</v>
      </c>
    </row>
    <row r="24" spans="1:48" x14ac:dyDescent="0.25">
      <c r="B24" s="10">
        <v>4</v>
      </c>
      <c r="C24" s="28">
        <v>0.1</v>
      </c>
      <c r="D24" s="29">
        <v>0.05</v>
      </c>
      <c r="E24" s="29">
        <v>0.19566700000000001</v>
      </c>
      <c r="F24" s="29">
        <v>0.65433300000000005</v>
      </c>
      <c r="G24" s="30">
        <v>281.50846300000001</v>
      </c>
      <c r="H24" s="31">
        <v>2.2024469999999998</v>
      </c>
      <c r="I24" s="32">
        <v>58740.146068000002</v>
      </c>
      <c r="J24" s="33">
        <v>663.76798099999996</v>
      </c>
      <c r="K24" s="105"/>
      <c r="L24" s="34">
        <v>0.10987230000000001</v>
      </c>
      <c r="M24" s="35">
        <v>4.9332895000000002E-2</v>
      </c>
      <c r="N24" s="35">
        <v>0.18943979999999999</v>
      </c>
      <c r="O24" s="35">
        <v>0.6513549500000001</v>
      </c>
      <c r="P24" s="30">
        <v>281.5</v>
      </c>
      <c r="Q24" s="31">
        <v>2.21</v>
      </c>
      <c r="R24" s="32">
        <v>58750</v>
      </c>
      <c r="S24" s="30">
        <v>780.08871455374128</v>
      </c>
      <c r="T24" s="35">
        <v>0.48895231290897917</v>
      </c>
      <c r="U24" s="34">
        <v>0.19482211213460621</v>
      </c>
      <c r="V24" s="35">
        <v>0.2495437404838167</v>
      </c>
      <c r="W24" s="35">
        <v>0.28627847158210196</v>
      </c>
      <c r="X24" s="35">
        <v>0.11570230967043837</v>
      </c>
      <c r="Y24" s="35">
        <v>4.8414305041106553E-2</v>
      </c>
      <c r="Z24" s="35">
        <v>0.10523906108793048</v>
      </c>
      <c r="AA24" s="34">
        <f t="shared" si="1"/>
        <v>0.44436585261842287</v>
      </c>
      <c r="AB24" s="34">
        <v>0.11685852802325457</v>
      </c>
      <c r="AC24" s="35">
        <v>6.5893664349621045E-2</v>
      </c>
      <c r="AD24" s="35">
        <v>4.0014616737458125E-2</v>
      </c>
      <c r="AE24" s="35">
        <v>2.4002071821605981E-2</v>
      </c>
      <c r="AF24" s="35">
        <v>1.4291231135558172E-2</v>
      </c>
      <c r="AG24" s="35">
        <v>1.0433438977072997E-2</v>
      </c>
      <c r="AH24" s="35">
        <v>6.8377591560035136E-3</v>
      </c>
      <c r="AI24" s="35">
        <v>4.7582678092866022E-3</v>
      </c>
      <c r="AJ24" s="35">
        <v>3.1888935722409681E-3</v>
      </c>
      <c r="AK24" s="34">
        <v>8.4535389450867329E-3</v>
      </c>
      <c r="AL24" s="35">
        <v>6.0028629829086112E-2</v>
      </c>
      <c r="AM24" s="35">
        <v>2.5112466265551355E-2</v>
      </c>
      <c r="AN24" s="35">
        <v>1.4063205876595633E-2</v>
      </c>
      <c r="AO24" s="35">
        <v>5.1947204748559002E-3</v>
      </c>
      <c r="AP24" s="35">
        <v>1.9298592178462019E-3</v>
      </c>
      <c r="AQ24" s="35">
        <v>9.1988906141641819E-4</v>
      </c>
      <c r="AR24" s="34">
        <v>6.4664020888119914E-2</v>
      </c>
      <c r="AS24" s="35">
        <v>2.6871488787613796E-2</v>
      </c>
      <c r="AT24" s="35">
        <v>8.9205850736680924E-3</v>
      </c>
      <c r="AU24" s="35">
        <v>3.546969401322795E-3</v>
      </c>
      <c r="AV24" s="62">
        <v>1.2359969372058833E-3</v>
      </c>
    </row>
    <row r="25" spans="1:48" x14ac:dyDescent="0.25">
      <c r="B25" s="10">
        <v>5</v>
      </c>
      <c r="C25" s="28">
        <v>0.1</v>
      </c>
      <c r="D25" s="29">
        <v>6.8637000000000004E-2</v>
      </c>
      <c r="E25" s="29">
        <v>5.0000999999999997E-2</v>
      </c>
      <c r="F25" s="29">
        <v>0.781362</v>
      </c>
      <c r="G25" s="30">
        <v>270.47830599999998</v>
      </c>
      <c r="H25" s="31">
        <v>2.0200019999999999</v>
      </c>
      <c r="I25" s="32">
        <v>79999.952426999997</v>
      </c>
      <c r="J25" s="33">
        <v>554.74850300000003</v>
      </c>
      <c r="K25" s="105"/>
      <c r="L25" s="34">
        <v>8.5497320000000002E-2</v>
      </c>
      <c r="M25" s="35">
        <v>8.5033004999999995E-2</v>
      </c>
      <c r="N25" s="35">
        <v>6.2957125000000003E-2</v>
      </c>
      <c r="O25" s="35">
        <v>0.7665126000000001</v>
      </c>
      <c r="P25" s="65">
        <v>270.5</v>
      </c>
      <c r="Q25" s="31">
        <v>2</v>
      </c>
      <c r="R25" s="32">
        <v>80000</v>
      </c>
      <c r="S25" s="30">
        <v>878.02866609565183</v>
      </c>
      <c r="T25" s="35">
        <v>0.36032244375017353</v>
      </c>
      <c r="U25" s="34">
        <v>0.14843798516458004</v>
      </c>
      <c r="V25" s="35">
        <v>0.22759995728173141</v>
      </c>
      <c r="W25" s="35">
        <v>0.27862280105322507</v>
      </c>
      <c r="X25" s="35">
        <v>0.14945629111494041</v>
      </c>
      <c r="Y25" s="35">
        <v>7.3314815568363487E-2</v>
      </c>
      <c r="Z25" s="35">
        <v>0.12256814981715985</v>
      </c>
      <c r="AA25" s="34">
        <f t="shared" si="1"/>
        <v>0.37603794244631145</v>
      </c>
      <c r="AB25" s="34">
        <v>0.10311815148898196</v>
      </c>
      <c r="AC25" s="35">
        <v>5.6797424665523226E-2</v>
      </c>
      <c r="AD25" s="35">
        <v>4.1370559758467089E-2</v>
      </c>
      <c r="AE25" s="35">
        <v>2.7151897075450033E-2</v>
      </c>
      <c r="AF25" s="35">
        <v>1.7638744288732664E-2</v>
      </c>
      <c r="AG25" s="35">
        <v>1.3327751857155831E-2</v>
      </c>
      <c r="AH25" s="35">
        <v>8.9552790701890941E-3</v>
      </c>
      <c r="AI25" s="35">
        <v>6.1666161156003277E-3</v>
      </c>
      <c r="AJ25" s="35">
        <v>4.0963767331248201E-3</v>
      </c>
      <c r="AK25" s="34">
        <v>1.3095841957600884E-2</v>
      </c>
      <c r="AL25" s="35">
        <v>6.9869811212407013E-2</v>
      </c>
      <c r="AM25" s="35">
        <v>3.2795952766640206E-2</v>
      </c>
      <c r="AN25" s="35">
        <v>2.0694308328583187E-2</v>
      </c>
      <c r="AO25" s="35">
        <v>7.8639219672920757E-3</v>
      </c>
      <c r="AP25" s="35">
        <v>3.4295535644065858E-3</v>
      </c>
      <c r="AQ25" s="35">
        <v>1.7069013180104609E-3</v>
      </c>
      <c r="AR25" s="34">
        <v>7.3518475266791117E-2</v>
      </c>
      <c r="AS25" s="35">
        <v>3.0576980983721951E-2</v>
      </c>
      <c r="AT25" s="35">
        <v>1.1188368327661008E-2</v>
      </c>
      <c r="AU25" s="35">
        <v>5.3197025878066358E-3</v>
      </c>
      <c r="AV25" s="62">
        <v>1.9646226511791372E-3</v>
      </c>
    </row>
    <row r="26" spans="1:48" x14ac:dyDescent="0.25">
      <c r="B26" s="15">
        <v>6</v>
      </c>
      <c r="C26" s="40">
        <v>0.1</v>
      </c>
      <c r="D26" s="41">
        <v>0.05</v>
      </c>
      <c r="E26" s="41">
        <v>0.26401599999999997</v>
      </c>
      <c r="F26" s="41">
        <v>0.58598300000000003</v>
      </c>
      <c r="G26" s="42">
        <v>289.340191</v>
      </c>
      <c r="H26" s="43">
        <v>2.4631599999999998</v>
      </c>
      <c r="I26" s="44">
        <v>76519.796241000004</v>
      </c>
      <c r="J26" s="45">
        <v>544.83133799999996</v>
      </c>
      <c r="K26" s="106"/>
      <c r="L26" s="46">
        <v>8.1680375E-2</v>
      </c>
      <c r="M26" s="47">
        <v>9.9045754999999999E-2</v>
      </c>
      <c r="N26" s="47">
        <v>0.2141827</v>
      </c>
      <c r="O26" s="47">
        <v>0.60509119999999994</v>
      </c>
      <c r="P26" s="73">
        <v>289.3</v>
      </c>
      <c r="Q26" s="15">
        <v>2.46</v>
      </c>
      <c r="R26" s="44">
        <v>76500.000000000015</v>
      </c>
      <c r="S26" s="42">
        <v>918.71150446116485</v>
      </c>
      <c r="T26" s="47">
        <v>0.54001753117074824</v>
      </c>
      <c r="U26" s="46">
        <v>0.1821504484998995</v>
      </c>
      <c r="V26" s="47">
        <v>0.27772368692710925</v>
      </c>
      <c r="W26" s="47">
        <v>0.29670303969378964</v>
      </c>
      <c r="X26" s="47">
        <v>0.11041867874780784</v>
      </c>
      <c r="Y26" s="47">
        <v>4.2747859480043102E-2</v>
      </c>
      <c r="Z26" s="47">
        <v>9.025628665135027E-2</v>
      </c>
      <c r="AA26" s="46">
        <f t="shared" si="1"/>
        <v>0.45987413542700872</v>
      </c>
      <c r="AB26" s="46">
        <v>0.13016130414161139</v>
      </c>
      <c r="AC26" s="47">
        <v>7.1592018572750188E-2</v>
      </c>
      <c r="AD26" s="47">
        <v>3.5998171021956807E-2</v>
      </c>
      <c r="AE26" s="47">
        <v>2.3538588479309192E-2</v>
      </c>
      <c r="AF26" s="47">
        <v>1.2687689684798446E-2</v>
      </c>
      <c r="AG26" s="47">
        <v>8.2920608886447034E-3</v>
      </c>
      <c r="AH26" s="47">
        <v>5.5657977369808686E-3</v>
      </c>
      <c r="AI26" s="47">
        <v>4.7379219688195289E-3</v>
      </c>
      <c r="AJ26" s="47">
        <v>4.1294871989185685E-3</v>
      </c>
      <c r="AK26" s="46">
        <v>8.2362059356129273E-3</v>
      </c>
      <c r="AL26" s="47">
        <v>5.7594267943343311E-2</v>
      </c>
      <c r="AM26" s="47">
        <v>2.3347569566774081E-2</v>
      </c>
      <c r="AN26" s="47">
        <v>1.3592885899294698E-2</v>
      </c>
      <c r="AO26" s="47">
        <v>4.8746128128769883E-3</v>
      </c>
      <c r="AP26" s="47">
        <v>1.5496950933472685E-3</v>
      </c>
      <c r="AQ26" s="47">
        <v>1.2234414965585692E-3</v>
      </c>
      <c r="AR26" s="46">
        <v>5.6791140233440604E-2</v>
      </c>
      <c r="AS26" s="47">
        <v>2.3359826630532352E-2</v>
      </c>
      <c r="AT26" s="47">
        <v>6.8866871405291394E-3</v>
      </c>
      <c r="AU26" s="47">
        <v>2.4700273241884492E-3</v>
      </c>
      <c r="AV26" s="63">
        <v>7.4860532265973081E-4</v>
      </c>
    </row>
    <row r="27" spans="1:48" x14ac:dyDescent="0.25">
      <c r="A27" s="54" t="s">
        <v>16</v>
      </c>
      <c r="B27" s="52">
        <v>1</v>
      </c>
      <c r="C27" s="28">
        <v>0.1</v>
      </c>
      <c r="D27" s="29">
        <v>8.9838000000000001E-2</v>
      </c>
      <c r="E27" s="29">
        <v>0.3</v>
      </c>
      <c r="F27" s="29">
        <v>0.510162</v>
      </c>
      <c r="G27" s="30">
        <v>314.310652</v>
      </c>
      <c r="H27" s="31">
        <v>2.3522970000000001</v>
      </c>
      <c r="I27" s="32">
        <v>80000</v>
      </c>
      <c r="J27" s="33">
        <v>744.77985899999999</v>
      </c>
      <c r="K27" s="108" t="s">
        <v>10</v>
      </c>
      <c r="L27" s="34">
        <v>0.10103325</v>
      </c>
      <c r="M27" s="35">
        <v>0.11953509999999999</v>
      </c>
      <c r="N27" s="35">
        <v>0.27670119999999998</v>
      </c>
      <c r="O27" s="35">
        <v>0.50273045000000005</v>
      </c>
      <c r="P27" s="65">
        <v>314.3</v>
      </c>
      <c r="Q27" s="31">
        <v>2.35</v>
      </c>
      <c r="R27" s="32">
        <v>80000</v>
      </c>
      <c r="S27" s="30">
        <v>683.52448245036817</v>
      </c>
      <c r="T27" s="35">
        <v>0.73781056752052954</v>
      </c>
      <c r="U27" s="34">
        <v>0.27053586528686557</v>
      </c>
      <c r="V27" s="35">
        <v>0.23759492936491267</v>
      </c>
      <c r="W27" s="35">
        <v>0.3295767521754156</v>
      </c>
      <c r="X27" s="35">
        <v>9.6882054502461318E-2</v>
      </c>
      <c r="Y27" s="35">
        <v>1.7354646062351597E-2</v>
      </c>
      <c r="Z27" s="35">
        <v>4.8055752607993329E-2</v>
      </c>
      <c r="AA27" s="34">
        <f t="shared" si="1"/>
        <v>0.50813079465177824</v>
      </c>
      <c r="AB27" s="34">
        <v>0.12796664891470144</v>
      </c>
      <c r="AC27" s="35">
        <v>8.6387535743789573E-2</v>
      </c>
      <c r="AD27" s="35">
        <v>4.2986228390826553E-2</v>
      </c>
      <c r="AE27" s="35">
        <v>3.1125479826258313E-2</v>
      </c>
      <c r="AF27" s="35">
        <v>1.5692985269167216E-2</v>
      </c>
      <c r="AG27" s="35">
        <v>1.0357285990404294E-2</v>
      </c>
      <c r="AH27" s="35">
        <v>6.4082027861384495E-3</v>
      </c>
      <c r="AI27" s="35">
        <v>5.4009065593148345E-3</v>
      </c>
      <c r="AJ27" s="35">
        <v>3.2514786948149069E-3</v>
      </c>
      <c r="AK27" s="34">
        <v>5.8848029502263626E-3</v>
      </c>
      <c r="AL27" s="35">
        <v>5.2521837012672309E-2</v>
      </c>
      <c r="AM27" s="35">
        <v>2.0972729885923511E-2</v>
      </c>
      <c r="AN27" s="35">
        <v>1.0366917579300238E-2</v>
      </c>
      <c r="AO27" s="35">
        <v>4.507407951071369E-3</v>
      </c>
      <c r="AP27" s="35">
        <v>1.709722505281962E-3</v>
      </c>
      <c r="AQ27" s="35">
        <v>9.1863661798556725E-4</v>
      </c>
      <c r="AR27" s="34">
        <v>2.8855187026865368E-2</v>
      </c>
      <c r="AS27" s="35">
        <v>1.3822711545659019E-2</v>
      </c>
      <c r="AT27" s="35">
        <v>4.0276423303693392E-3</v>
      </c>
      <c r="AU27" s="35">
        <v>1.0048106793505436E-3</v>
      </c>
      <c r="AV27" s="62">
        <v>3.4540102574905963E-4</v>
      </c>
    </row>
    <row r="28" spans="1:48" x14ac:dyDescent="0.25">
      <c r="B28" s="10">
        <v>2</v>
      </c>
      <c r="C28" s="28">
        <v>0.1</v>
      </c>
      <c r="D28" s="29">
        <v>0.05</v>
      </c>
      <c r="E28" s="29">
        <v>0.14876200000000001</v>
      </c>
      <c r="F28" s="29">
        <v>0.70123800000000003</v>
      </c>
      <c r="G28" s="30">
        <v>287.76041500000002</v>
      </c>
      <c r="H28" s="31">
        <v>2.9999989999999999</v>
      </c>
      <c r="I28" s="32">
        <v>79999.997094000006</v>
      </c>
      <c r="J28" s="33">
        <v>862.25341700000001</v>
      </c>
      <c r="K28" s="105"/>
      <c r="L28" s="34">
        <v>0.1077496</v>
      </c>
      <c r="M28" s="35">
        <v>5.5916199999999999E-2</v>
      </c>
      <c r="N28" s="35">
        <v>0.1289884</v>
      </c>
      <c r="O28" s="35">
        <v>0.70734575000000011</v>
      </c>
      <c r="P28" s="30">
        <v>287.8</v>
      </c>
      <c r="Q28" s="31">
        <v>3</v>
      </c>
      <c r="R28" s="32">
        <v>80000</v>
      </c>
      <c r="S28" s="30">
        <v>861.33771332662275</v>
      </c>
      <c r="T28" s="35">
        <v>0.63441424883087227</v>
      </c>
      <c r="U28" s="34">
        <v>0.19563273617286225</v>
      </c>
      <c r="V28" s="35">
        <v>0.28153693693047682</v>
      </c>
      <c r="W28" s="35">
        <v>0.31447585470571254</v>
      </c>
      <c r="X28" s="35">
        <v>7.8192080112070766E-2</v>
      </c>
      <c r="Y28" s="35">
        <v>4.8675228272676209E-2</v>
      </c>
      <c r="Z28" s="35">
        <v>8.1487163806201607E-2</v>
      </c>
      <c r="AA28" s="34">
        <f t="shared" si="1"/>
        <v>0.47716967310333908</v>
      </c>
      <c r="AB28" s="34">
        <v>0.11857750363996038</v>
      </c>
      <c r="AC28" s="35">
        <v>7.8263349056695006E-2</v>
      </c>
      <c r="AD28" s="35">
        <v>4.3370494920204221E-2</v>
      </c>
      <c r="AE28" s="35">
        <v>3.0593047359488392E-2</v>
      </c>
      <c r="AF28" s="35">
        <v>1.636852819373524E-2</v>
      </c>
      <c r="AG28" s="35">
        <v>1.0889452431285388E-2</v>
      </c>
      <c r="AH28" s="35">
        <v>7.0981554351553519E-3</v>
      </c>
      <c r="AI28" s="35">
        <v>4.8677947950386061E-3</v>
      </c>
      <c r="AJ28" s="35">
        <v>4.4475288741499738E-3</v>
      </c>
      <c r="AK28" s="34">
        <v>3.368658817141781E-3</v>
      </c>
      <c r="AL28" s="35">
        <v>4.2789000028447516E-2</v>
      </c>
      <c r="AM28" s="35">
        <v>1.6154905542770326E-2</v>
      </c>
      <c r="AN28" s="35">
        <v>9.5279936645443885E-3</v>
      </c>
      <c r="AO28" s="35">
        <v>3.9116849210603889E-3</v>
      </c>
      <c r="AP28" s="35">
        <v>1.6627576738314678E-3</v>
      </c>
      <c r="AQ28" s="35">
        <v>7.770794642749018E-4</v>
      </c>
      <c r="AR28" s="34">
        <v>5.4061380796166923E-2</v>
      </c>
      <c r="AS28" s="35">
        <v>1.9366742222777802E-2</v>
      </c>
      <c r="AT28" s="35">
        <v>5.7553476734956118E-3</v>
      </c>
      <c r="AU28" s="35">
        <v>1.8106539096894962E-3</v>
      </c>
      <c r="AV28" s="62">
        <v>4.930392040717709E-4</v>
      </c>
    </row>
    <row r="29" spans="1:48" x14ac:dyDescent="0.25">
      <c r="B29" s="10">
        <v>3</v>
      </c>
      <c r="C29" s="28">
        <v>0.1</v>
      </c>
      <c r="D29" s="29">
        <v>0.05</v>
      </c>
      <c r="E29" s="29">
        <v>0.19598499999999999</v>
      </c>
      <c r="F29" s="29">
        <v>0.65401500000000001</v>
      </c>
      <c r="G29" s="30">
        <v>286.32990699999999</v>
      </c>
      <c r="H29" s="31">
        <v>2.69218</v>
      </c>
      <c r="I29" s="32">
        <v>72425.439744999996</v>
      </c>
      <c r="J29" s="33">
        <v>852.57247600000005</v>
      </c>
      <c r="K29" s="105"/>
      <c r="L29" s="34">
        <v>0.10987230000000001</v>
      </c>
      <c r="M29" s="35">
        <v>4.9332895000000002E-2</v>
      </c>
      <c r="N29" s="35">
        <v>0.18943979999999999</v>
      </c>
      <c r="O29" s="35">
        <v>0.6513549500000001</v>
      </c>
      <c r="P29" s="30">
        <v>286.3</v>
      </c>
      <c r="Q29" s="31">
        <v>2.69</v>
      </c>
      <c r="R29" s="32">
        <v>72300</v>
      </c>
      <c r="S29" s="30">
        <v>892.82072186145547</v>
      </c>
      <c r="T29" s="35">
        <v>0.58758001231668078</v>
      </c>
      <c r="U29" s="34">
        <v>0.20916263839016036</v>
      </c>
      <c r="V29" s="35">
        <v>0.27672968567616274</v>
      </c>
      <c r="W29" s="35">
        <v>0.29576298480773494</v>
      </c>
      <c r="X29" s="35">
        <v>8.7119155068849277E-2</v>
      </c>
      <c r="Y29" s="35">
        <v>4.3525229563389792E-2</v>
      </c>
      <c r="Z29" s="35">
        <v>8.7700306493702959E-2</v>
      </c>
      <c r="AA29" s="34">
        <f t="shared" si="1"/>
        <v>0.4858923240663231</v>
      </c>
      <c r="AB29" s="34">
        <v>0.12353530358859363</v>
      </c>
      <c r="AC29" s="35">
        <v>7.4803992761798568E-2</v>
      </c>
      <c r="AD29" s="35">
        <v>4.0716691577932534E-2</v>
      </c>
      <c r="AE29" s="35">
        <v>2.3057330398284906E-2</v>
      </c>
      <c r="AF29" s="35">
        <v>1.2717530024957052E-2</v>
      </c>
      <c r="AG29" s="35">
        <v>8.9442828547545115E-3</v>
      </c>
      <c r="AH29" s="35">
        <v>5.6724968803818559E-3</v>
      </c>
      <c r="AI29" s="35">
        <v>3.8234907698757883E-3</v>
      </c>
      <c r="AJ29" s="35">
        <v>2.491865951156073E-3</v>
      </c>
      <c r="AK29" s="34">
        <v>6.1333036425390512E-3</v>
      </c>
      <c r="AL29" s="35">
        <v>4.575483497807252E-2</v>
      </c>
      <c r="AM29" s="35">
        <v>1.8494269033489063E-2</v>
      </c>
      <c r="AN29" s="35">
        <v>1.0506508507008884E-2</v>
      </c>
      <c r="AO29" s="35">
        <v>4.0908000962603542E-3</v>
      </c>
      <c r="AP29" s="35">
        <v>1.4331697135538518E-3</v>
      </c>
      <c r="AQ29" s="35">
        <v>7.0626909792553382E-4</v>
      </c>
      <c r="AR29" s="34">
        <v>5.6376676276583215E-2</v>
      </c>
      <c r="AS29" s="35">
        <v>2.1570907141308736E-2</v>
      </c>
      <c r="AT29" s="35">
        <v>6.6393800803427137E-3</v>
      </c>
      <c r="AU29" s="35">
        <v>2.357149233764992E-3</v>
      </c>
      <c r="AV29" s="62">
        <v>7.5619376170329652E-4</v>
      </c>
    </row>
    <row r="30" spans="1:48" x14ac:dyDescent="0.25">
      <c r="B30" s="10">
        <v>4</v>
      </c>
      <c r="C30" s="28">
        <v>0.1</v>
      </c>
      <c r="D30" s="29">
        <v>5.0000999999999997E-2</v>
      </c>
      <c r="E30" s="29">
        <v>6.7821000000000006E-2</v>
      </c>
      <c r="F30" s="29">
        <v>0.78217700000000001</v>
      </c>
      <c r="G30" s="30">
        <v>281.867458</v>
      </c>
      <c r="H30" s="31">
        <v>2.9148869999999998</v>
      </c>
      <c r="I30" s="32">
        <v>79999.994319999998</v>
      </c>
      <c r="J30" s="33">
        <v>846.338348</v>
      </c>
      <c r="K30" s="105"/>
      <c r="L30" s="34">
        <v>8.5497320000000002E-2</v>
      </c>
      <c r="M30" s="35">
        <v>8.5033004999999995E-2</v>
      </c>
      <c r="N30" s="35">
        <v>6.2957125000000003E-2</v>
      </c>
      <c r="O30" s="35">
        <v>0.7665126000000001</v>
      </c>
      <c r="P30" s="30">
        <v>281.89999999999998</v>
      </c>
      <c r="Q30" s="31">
        <v>2.91</v>
      </c>
      <c r="R30" s="32">
        <v>80000</v>
      </c>
      <c r="S30" s="30">
        <v>899.16181322351713</v>
      </c>
      <c r="T30" s="35">
        <v>0.56098766012667067</v>
      </c>
      <c r="U30" s="34">
        <v>0.19847296144961779</v>
      </c>
      <c r="V30" s="35">
        <v>0.24505656873638426</v>
      </c>
      <c r="W30" s="35">
        <v>0.29917180385285874</v>
      </c>
      <c r="X30" s="35">
        <v>0.10925158144507549</v>
      </c>
      <c r="Y30" s="35">
        <v>5.5409542180353745E-2</v>
      </c>
      <c r="Z30" s="35">
        <v>9.2637542335709963E-2</v>
      </c>
      <c r="AA30" s="34">
        <f t="shared" si="1"/>
        <v>0.44352953018600205</v>
      </c>
      <c r="AB30" s="34">
        <v>0.10678674795386368</v>
      </c>
      <c r="AC30" s="35">
        <v>6.5262713544100653E-2</v>
      </c>
      <c r="AD30" s="35">
        <v>4.3042617576772059E-2</v>
      </c>
      <c r="AE30" s="35">
        <v>3.2966203461936801E-2</v>
      </c>
      <c r="AF30" s="35">
        <v>1.8756927397071566E-2</v>
      </c>
      <c r="AG30" s="35">
        <v>1.3170930227231098E-2</v>
      </c>
      <c r="AH30" s="35">
        <v>8.5585026817438879E-3</v>
      </c>
      <c r="AI30" s="35">
        <v>5.6940435053261032E-3</v>
      </c>
      <c r="AJ30" s="35">
        <v>4.9331175048128754E-3</v>
      </c>
      <c r="AK30" s="34">
        <v>2.6670413351210253E-3</v>
      </c>
      <c r="AL30" s="35">
        <v>5.9231991514336502E-2</v>
      </c>
      <c r="AM30" s="35">
        <v>2.3875075556878397E-2</v>
      </c>
      <c r="AN30" s="35">
        <v>1.5510858440384983E-2</v>
      </c>
      <c r="AO30" s="35">
        <v>5.3438741386517457E-3</v>
      </c>
      <c r="AP30" s="35">
        <v>1.4102251110711882E-3</v>
      </c>
      <c r="AQ30" s="35">
        <v>1.2125153486316545E-3</v>
      </c>
      <c r="AR30" s="34">
        <v>5.856340291474757E-2</v>
      </c>
      <c r="AS30" s="35">
        <v>2.2928958273509298E-2</v>
      </c>
      <c r="AT30" s="35">
        <v>7.5251970647583558E-3</v>
      </c>
      <c r="AU30" s="35">
        <v>2.8993281494775216E-3</v>
      </c>
      <c r="AV30" s="62">
        <v>7.2065593321722014E-4</v>
      </c>
    </row>
    <row r="31" spans="1:48" x14ac:dyDescent="0.25">
      <c r="B31" s="10">
        <v>5</v>
      </c>
      <c r="C31" s="28">
        <v>0.1</v>
      </c>
      <c r="D31" s="29">
        <v>0.05</v>
      </c>
      <c r="E31" s="29">
        <v>0.23969099999999999</v>
      </c>
      <c r="F31" s="29">
        <v>0.61030899999999999</v>
      </c>
      <c r="G31" s="30">
        <v>287.15171600000002</v>
      </c>
      <c r="H31" s="31">
        <v>2.8152240000000002</v>
      </c>
      <c r="I31" s="32">
        <v>89999.995840000003</v>
      </c>
      <c r="J31" s="33">
        <v>936.79906300000005</v>
      </c>
      <c r="K31" s="105"/>
      <c r="L31" s="34">
        <v>8.1680375E-2</v>
      </c>
      <c r="M31" s="35">
        <v>9.9045754999999999E-2</v>
      </c>
      <c r="N31" s="35">
        <v>0.2141827</v>
      </c>
      <c r="O31" s="35">
        <v>0.60509119999999994</v>
      </c>
      <c r="P31" s="30">
        <v>287.2</v>
      </c>
      <c r="Q31" s="31">
        <v>2.81</v>
      </c>
      <c r="R31" s="32">
        <v>90000</v>
      </c>
      <c r="S31" s="30">
        <v>1088.56878587303</v>
      </c>
      <c r="T31" s="35">
        <v>0.55498326207043092</v>
      </c>
      <c r="U31" s="34">
        <v>0.14421601849385712</v>
      </c>
      <c r="V31" s="35">
        <v>0.29402689659883674</v>
      </c>
      <c r="W31" s="35">
        <v>0.32201702234482116</v>
      </c>
      <c r="X31" s="35">
        <v>9.1452093793505232E-2</v>
      </c>
      <c r="Y31" s="35">
        <v>5.1853531461848616E-2</v>
      </c>
      <c r="Z31" s="35">
        <v>9.6434437307131277E-2</v>
      </c>
      <c r="AA31" s="34">
        <f t="shared" si="1"/>
        <v>0.43824291509269386</v>
      </c>
      <c r="AB31" s="34">
        <v>0.13945769392736179</v>
      </c>
      <c r="AC31" s="35">
        <v>8.5343818138517713E-2</v>
      </c>
      <c r="AD31" s="35">
        <v>4.225770660144712E-2</v>
      </c>
      <c r="AE31" s="35">
        <v>2.3079365495671696E-2</v>
      </c>
      <c r="AF31" s="35">
        <v>1.2162560017214661E-2</v>
      </c>
      <c r="AG31" s="35">
        <v>8.3862281922277553E-3</v>
      </c>
      <c r="AH31" s="35">
        <v>5.2656054148412564E-3</v>
      </c>
      <c r="AI31" s="35">
        <v>3.6208868566113212E-3</v>
      </c>
      <c r="AJ31" s="35">
        <v>2.4431577009278536E-3</v>
      </c>
      <c r="AK31" s="34">
        <v>6.893765128661352E-3</v>
      </c>
      <c r="AL31" s="35">
        <v>4.8436845584593366E-2</v>
      </c>
      <c r="AM31" s="35">
        <v>1.9845932416530477E-2</v>
      </c>
      <c r="AN31" s="35">
        <v>1.0520365634733245E-2</v>
      </c>
      <c r="AO31" s="35">
        <v>4.0618700589109807E-3</v>
      </c>
      <c r="AP31" s="35">
        <v>1.1530759483207881E-3</v>
      </c>
      <c r="AQ31" s="35">
        <v>5.4023902175503221E-4</v>
      </c>
      <c r="AR31" s="34">
        <v>6.0927454510041626E-2</v>
      </c>
      <c r="AS31" s="35">
        <v>2.4812948197227083E-2</v>
      </c>
      <c r="AT31" s="35">
        <v>7.3921477010012266E-3</v>
      </c>
      <c r="AU31" s="35">
        <v>2.5635727830038914E-3</v>
      </c>
      <c r="AV31" s="62">
        <v>7.3831411585743531E-4</v>
      </c>
    </row>
    <row r="32" spans="1:48" x14ac:dyDescent="0.25">
      <c r="B32" s="15">
        <v>6</v>
      </c>
      <c r="C32" s="40">
        <v>0.1</v>
      </c>
      <c r="D32" s="41">
        <v>0.05</v>
      </c>
      <c r="E32" s="41">
        <v>0.19499900000000001</v>
      </c>
      <c r="F32" s="41">
        <v>0.65500100000000006</v>
      </c>
      <c r="G32" s="42">
        <v>286.72782100000001</v>
      </c>
      <c r="H32" s="43">
        <v>2.162445</v>
      </c>
      <c r="I32" s="44">
        <v>89999.990191000004</v>
      </c>
      <c r="J32" s="45">
        <v>982.22701900000004</v>
      </c>
      <c r="K32" s="106"/>
      <c r="L32" s="46">
        <v>0.10987230000000001</v>
      </c>
      <c r="M32" s="47">
        <v>4.9332895000000002E-2</v>
      </c>
      <c r="N32" s="47">
        <v>0.18943979999999999</v>
      </c>
      <c r="O32" s="47">
        <v>0.6513549500000001</v>
      </c>
      <c r="P32" s="42">
        <v>286.7</v>
      </c>
      <c r="Q32" s="43">
        <v>2.16</v>
      </c>
      <c r="R32" s="44">
        <v>90000</v>
      </c>
      <c r="S32" s="42">
        <v>1098.461454909871</v>
      </c>
      <c r="T32" s="47">
        <v>0.44161836904759078</v>
      </c>
      <c r="U32" s="46">
        <v>0.19337078887496625</v>
      </c>
      <c r="V32" s="47">
        <v>0.26532071367385357</v>
      </c>
      <c r="W32" s="47">
        <v>0.27911307113289263</v>
      </c>
      <c r="X32" s="47">
        <v>0.11735972537939644</v>
      </c>
      <c r="Y32" s="47">
        <v>4.5882705663805159E-2</v>
      </c>
      <c r="Z32" s="47">
        <v>9.8952995275086206E-2</v>
      </c>
      <c r="AA32" s="46">
        <f t="shared" si="1"/>
        <v>0.45869150254881985</v>
      </c>
      <c r="AB32" s="46">
        <v>0.11990938075398053</v>
      </c>
      <c r="AC32" s="47">
        <v>6.5334556624853629E-2</v>
      </c>
      <c r="AD32" s="47">
        <v>3.7539326102894073E-2</v>
      </c>
      <c r="AE32" s="47">
        <v>2.1837610752405787E-2</v>
      </c>
      <c r="AF32" s="47">
        <v>1.2638798850228932E-2</v>
      </c>
      <c r="AG32" s="47">
        <v>9.1521462969394174E-3</v>
      </c>
      <c r="AH32" s="47">
        <v>5.9204254262143633E-3</v>
      </c>
      <c r="AI32" s="47">
        <v>4.1091776404513693E-3</v>
      </c>
      <c r="AJ32" s="47">
        <v>2.6716486849245871E-3</v>
      </c>
      <c r="AK32" s="46">
        <v>9.3741235446761842E-3</v>
      </c>
      <c r="AL32" s="47">
        <v>5.8770181257381385E-2</v>
      </c>
      <c r="AM32" s="47">
        <v>2.5291959930822762E-2</v>
      </c>
      <c r="AN32" s="47">
        <v>1.4822606582454951E-2</v>
      </c>
      <c r="AO32" s="47">
        <v>5.766382170419174E-3</v>
      </c>
      <c r="AP32" s="47">
        <v>2.2340307251528129E-3</v>
      </c>
      <c r="AQ32" s="47">
        <v>1.1004411684891707E-3</v>
      </c>
      <c r="AR32" s="46">
        <v>6.3059533094881229E-2</v>
      </c>
      <c r="AS32" s="47">
        <v>2.4528080678726305E-2</v>
      </c>
      <c r="AT32" s="47">
        <v>7.6285181095558166E-3</v>
      </c>
      <c r="AU32" s="47">
        <v>2.740008270211044E-3</v>
      </c>
      <c r="AV32" s="63">
        <v>9.9685512171179152E-4</v>
      </c>
    </row>
    <row r="33" spans="1:48" x14ac:dyDescent="0.25">
      <c r="A33" s="54" t="s">
        <v>17</v>
      </c>
      <c r="B33" s="52">
        <v>1</v>
      </c>
      <c r="C33" s="28">
        <v>0.1</v>
      </c>
      <c r="D33" s="29">
        <v>0.19999900000000001</v>
      </c>
      <c r="E33" s="29">
        <v>5.0000999999999997E-2</v>
      </c>
      <c r="F33" s="29">
        <v>0.65</v>
      </c>
      <c r="G33" s="30">
        <v>284.39747199999999</v>
      </c>
      <c r="H33" s="31">
        <v>3</v>
      </c>
      <c r="I33" s="32">
        <v>79999.996264000001</v>
      </c>
      <c r="J33" s="33">
        <v>924.58388300000001</v>
      </c>
      <c r="K33" s="83" t="s">
        <v>18</v>
      </c>
      <c r="L33" s="34">
        <v>7.0366186001144831E-2</v>
      </c>
      <c r="M33" s="35">
        <v>0.22451981643410274</v>
      </c>
      <c r="N33" s="35">
        <v>4.9378073816253969E-2</v>
      </c>
      <c r="O33" s="35">
        <v>0.65573592374849843</v>
      </c>
      <c r="P33" s="30">
        <v>284.39999999999998</v>
      </c>
      <c r="Q33" s="31">
        <v>3</v>
      </c>
      <c r="R33" s="32">
        <v>80000</v>
      </c>
      <c r="S33" s="30">
        <v>783.47437765601342</v>
      </c>
      <c r="T33" s="35">
        <v>0.46891808776065469</v>
      </c>
      <c r="U33" s="34">
        <v>0.15608122063275778</v>
      </c>
      <c r="V33" s="35">
        <v>0.26998909939359805</v>
      </c>
      <c r="W33" s="35">
        <v>0.31356019840032706</v>
      </c>
      <c r="X33" s="35">
        <v>9.5918788148758719E-2</v>
      </c>
      <c r="Y33" s="35">
        <v>6.700792315562451E-2</v>
      </c>
      <c r="Z33" s="35">
        <v>9.744277026893354E-2</v>
      </c>
      <c r="AA33" s="34">
        <f t="shared" si="1"/>
        <v>0.42607032002635581</v>
      </c>
      <c r="AB33" s="34">
        <v>0.11375748251905486</v>
      </c>
      <c r="AC33" s="35">
        <v>7.1899367790196206E-2</v>
      </c>
      <c r="AD33" s="35">
        <v>4.4217779409277382E-2</v>
      </c>
      <c r="AE33" s="35">
        <v>3.3585389144219373E-2</v>
      </c>
      <c r="AF33" s="35">
        <v>1.8433645407380711E-2</v>
      </c>
      <c r="AG33" s="35">
        <v>1.2429680612435231E-2</v>
      </c>
      <c r="AH33" s="35">
        <v>8.298262352196023E-3</v>
      </c>
      <c r="AI33" s="35">
        <v>5.7056712001715458E-3</v>
      </c>
      <c r="AJ33" s="35">
        <v>5.2329199653957633E-3</v>
      </c>
      <c r="AK33" s="34">
        <v>7.3415286660942656E-3</v>
      </c>
      <c r="AL33" s="35">
        <v>5.2350840266990793E-2</v>
      </c>
      <c r="AM33" s="35">
        <v>1.8338340592641028E-2</v>
      </c>
      <c r="AN33" s="35">
        <v>1.1701820959455591E-2</v>
      </c>
      <c r="AO33" s="35">
        <v>3.3419912319534784E-3</v>
      </c>
      <c r="AP33" s="35">
        <v>1.6700615489311365E-3</v>
      </c>
      <c r="AQ33" s="35">
        <v>1.1742048826924442E-3</v>
      </c>
      <c r="AR33" s="34">
        <v>6.3784727506874458E-2</v>
      </c>
      <c r="AS33" s="35">
        <v>2.338123445619535E-2</v>
      </c>
      <c r="AT33" s="35">
        <v>6.9036992161752046E-3</v>
      </c>
      <c r="AU33" s="35">
        <v>2.6181970927599725E-3</v>
      </c>
      <c r="AV33" s="62">
        <v>7.549119969285622E-4</v>
      </c>
    </row>
    <row r="34" spans="1:48" x14ac:dyDescent="0.25">
      <c r="B34" s="10">
        <v>2</v>
      </c>
      <c r="C34" s="28">
        <v>0.1</v>
      </c>
      <c r="D34" s="29">
        <v>5.0000999999999997E-2</v>
      </c>
      <c r="E34" s="29">
        <v>0.18959300000000001</v>
      </c>
      <c r="F34" s="29">
        <v>0.66040600000000005</v>
      </c>
      <c r="G34" s="30">
        <v>284.15705400000002</v>
      </c>
      <c r="H34" s="31">
        <v>3</v>
      </c>
      <c r="I34" s="32">
        <v>74432</v>
      </c>
      <c r="J34" s="33">
        <v>888.76997600000004</v>
      </c>
      <c r="K34" s="105" t="s">
        <v>10</v>
      </c>
      <c r="L34" s="34">
        <v>0.10987230000000001</v>
      </c>
      <c r="M34" s="35">
        <v>4.9332895000000002E-2</v>
      </c>
      <c r="N34" s="35">
        <v>0.18943979999999999</v>
      </c>
      <c r="O34" s="35">
        <v>0.6513549500000001</v>
      </c>
      <c r="P34" s="65">
        <v>284.2</v>
      </c>
      <c r="Q34" s="31">
        <v>3</v>
      </c>
      <c r="R34" s="32">
        <v>74318.181818181823</v>
      </c>
      <c r="S34" s="30">
        <v>857.06969626147111</v>
      </c>
      <c r="T34" s="35">
        <v>0.58701800387833725</v>
      </c>
      <c r="U34" s="34">
        <v>0.17737646622868097</v>
      </c>
      <c r="V34" s="35">
        <v>0.28743499492812813</v>
      </c>
      <c r="W34" s="35">
        <v>0.31417629254225077</v>
      </c>
      <c r="X34" s="35">
        <v>7.9520381614223021E-2</v>
      </c>
      <c r="Y34" s="35">
        <v>4.924127831349958E-2</v>
      </c>
      <c r="Z34" s="35">
        <v>9.2250586373217619E-2</v>
      </c>
      <c r="AA34" s="34">
        <f t="shared" si="1"/>
        <v>0.4648114611568091</v>
      </c>
      <c r="AB34" s="34">
        <v>0.12938797593965334</v>
      </c>
      <c r="AC34" s="35">
        <v>8.1104798857585383E-2</v>
      </c>
      <c r="AD34" s="35">
        <v>4.3635858943078122E-2</v>
      </c>
      <c r="AE34" s="35">
        <v>2.4501861387226282E-2</v>
      </c>
      <c r="AF34" s="35">
        <v>1.3510094691913303E-2</v>
      </c>
      <c r="AG34" s="35">
        <v>9.3865487280720434E-3</v>
      </c>
      <c r="AH34" s="35">
        <v>5.9473116120903309E-3</v>
      </c>
      <c r="AI34" s="35">
        <v>4.0806328898585001E-3</v>
      </c>
      <c r="AJ34" s="35">
        <v>2.6212094927734807E-3</v>
      </c>
      <c r="AK34" s="34">
        <v>5.6842094896573042E-3</v>
      </c>
      <c r="AL34" s="35">
        <v>4.3651030717617618E-2</v>
      </c>
      <c r="AM34" s="35">
        <v>1.6378640211391928E-2</v>
      </c>
      <c r="AN34" s="35">
        <v>8.7069494743629901E-3</v>
      </c>
      <c r="AO34" s="35">
        <v>3.4902059653525962E-3</v>
      </c>
      <c r="AP34" s="35">
        <v>1.0544753494464638E-3</v>
      </c>
      <c r="AQ34" s="35">
        <v>5.5487040639412295E-4</v>
      </c>
      <c r="AR34" s="34">
        <v>5.8827814891156981E-2</v>
      </c>
      <c r="AS34" s="35">
        <v>2.2891639937152385E-2</v>
      </c>
      <c r="AT34" s="35">
        <v>7.2520497475577908E-3</v>
      </c>
      <c r="AU34" s="35">
        <v>2.5970133694402727E-3</v>
      </c>
      <c r="AV34" s="62">
        <v>6.8206842791018057E-4</v>
      </c>
    </row>
    <row r="35" spans="1:48" x14ac:dyDescent="0.25">
      <c r="B35" s="10">
        <v>3</v>
      </c>
      <c r="C35" s="28">
        <v>0.1</v>
      </c>
      <c r="D35" s="29">
        <v>5.0000999999999997E-2</v>
      </c>
      <c r="E35" s="29">
        <v>0.22520699999999999</v>
      </c>
      <c r="F35" s="29">
        <v>0.62479200000000001</v>
      </c>
      <c r="G35" s="30">
        <v>284.29080599999998</v>
      </c>
      <c r="H35" s="31">
        <v>2.9999980000000002</v>
      </c>
      <c r="I35" s="32">
        <v>79999.996264000001</v>
      </c>
      <c r="J35" s="33">
        <v>950.98353399999996</v>
      </c>
      <c r="K35" s="105"/>
      <c r="L35" s="34">
        <v>0.11717000000000001</v>
      </c>
      <c r="M35" s="35">
        <v>9.5629589999999987E-2</v>
      </c>
      <c r="N35" s="35">
        <v>0.14434239999999998</v>
      </c>
      <c r="O35" s="35">
        <v>0.64285804999999996</v>
      </c>
      <c r="P35" s="30">
        <v>284.3</v>
      </c>
      <c r="Q35" s="31">
        <v>3</v>
      </c>
      <c r="R35" s="32">
        <v>80000</v>
      </c>
      <c r="S35" s="30">
        <v>903.094579964491</v>
      </c>
      <c r="T35" s="35">
        <v>0.4866137479781435</v>
      </c>
      <c r="U35" s="34">
        <v>0.14935145468570965</v>
      </c>
      <c r="V35" s="35">
        <v>0.29388056874272722</v>
      </c>
      <c r="W35" s="35">
        <v>0.29686482965635275</v>
      </c>
      <c r="X35" s="35">
        <v>9.1688142787008528E-2</v>
      </c>
      <c r="Y35" s="35">
        <v>6.4009242961835355E-2</v>
      </c>
      <c r="Z35" s="35">
        <v>0.10420576116636641</v>
      </c>
      <c r="AA35" s="34">
        <f t="shared" si="1"/>
        <v>0.44323202342843687</v>
      </c>
      <c r="AB35" s="34">
        <v>0.12159606982477544</v>
      </c>
      <c r="AC35" s="35">
        <v>6.9563339332685215E-2</v>
      </c>
      <c r="AD35" s="35">
        <v>3.927351953124246E-2</v>
      </c>
      <c r="AE35" s="35">
        <v>2.655100736017682E-2</v>
      </c>
      <c r="AF35" s="35">
        <v>1.4493689769644602E-2</v>
      </c>
      <c r="AG35" s="35">
        <v>9.6490832485121875E-3</v>
      </c>
      <c r="AH35" s="35">
        <v>6.4509762817624335E-3</v>
      </c>
      <c r="AI35" s="35">
        <v>4.4180003198975287E-3</v>
      </c>
      <c r="AJ35" s="35">
        <v>4.8691439876560397E-3</v>
      </c>
      <c r="AK35" s="34">
        <v>6.8574794356114042E-3</v>
      </c>
      <c r="AL35" s="35">
        <v>4.9750502411602657E-2</v>
      </c>
      <c r="AM35" s="35">
        <v>1.8515592127326529E-2</v>
      </c>
      <c r="AN35" s="35">
        <v>1.1036685018874788E-2</v>
      </c>
      <c r="AO35" s="35">
        <v>3.9314435119603454E-3</v>
      </c>
      <c r="AP35" s="35">
        <v>1.2274100762979811E-3</v>
      </c>
      <c r="AQ35" s="35">
        <v>3.6903020533483438E-4</v>
      </c>
      <c r="AR35" s="34">
        <v>6.8296801797388729E-2</v>
      </c>
      <c r="AS35" s="35">
        <v>2.5225698572852139E-2</v>
      </c>
      <c r="AT35" s="35">
        <v>7.2800711672399484E-3</v>
      </c>
      <c r="AU35" s="35">
        <v>2.6831586384851525E-3</v>
      </c>
      <c r="AV35" s="62">
        <v>7.200309904004372E-4</v>
      </c>
    </row>
    <row r="36" spans="1:48" x14ac:dyDescent="0.25">
      <c r="B36" s="10">
        <v>4</v>
      </c>
      <c r="C36" s="28">
        <v>0.1</v>
      </c>
      <c r="D36" s="29">
        <v>0.05</v>
      </c>
      <c r="E36" s="29">
        <v>0.25289</v>
      </c>
      <c r="F36" s="29">
        <v>0.597109</v>
      </c>
      <c r="G36" s="30">
        <v>282.92147899999998</v>
      </c>
      <c r="H36" s="31">
        <v>2.1297549999999998</v>
      </c>
      <c r="I36" s="32">
        <v>80000.000409999993</v>
      </c>
      <c r="J36" s="33">
        <v>1004.1520870000001</v>
      </c>
      <c r="K36" s="105"/>
      <c r="L36" s="34">
        <v>0.14581465000000002</v>
      </c>
      <c r="M36" s="35">
        <v>7.4316735000000009E-2</v>
      </c>
      <c r="N36" s="35">
        <v>0.183033</v>
      </c>
      <c r="O36" s="35">
        <v>0.59683570000000008</v>
      </c>
      <c r="P36" s="30">
        <v>282.89999999999998</v>
      </c>
      <c r="Q36" s="31">
        <v>2.13</v>
      </c>
      <c r="R36" s="32">
        <v>80000</v>
      </c>
      <c r="S36" s="30">
        <v>933.67056422496694</v>
      </c>
      <c r="T36" s="35">
        <v>0.37049992865113374</v>
      </c>
      <c r="U36" s="34">
        <v>0.14789760470113333</v>
      </c>
      <c r="V36" s="35">
        <v>0.26371394352792177</v>
      </c>
      <c r="W36" s="35">
        <v>0.28137910322886323</v>
      </c>
      <c r="X36" s="35">
        <v>0.12914787325316979</v>
      </c>
      <c r="Y36" s="35">
        <v>5.7571068781658546E-2</v>
      </c>
      <c r="Z36" s="35">
        <v>0.12029040650725346</v>
      </c>
      <c r="AA36" s="34">
        <f t="shared" si="1"/>
        <v>0.4116115482290551</v>
      </c>
      <c r="AB36" s="34">
        <v>0.12582790700236618</v>
      </c>
      <c r="AC36" s="35">
        <v>6.450554410265727E-2</v>
      </c>
      <c r="AD36" s="35">
        <v>3.6493732310827906E-2</v>
      </c>
      <c r="AE36" s="35">
        <v>2.0853164015823836E-2</v>
      </c>
      <c r="AF36" s="35">
        <v>1.231824463283532E-2</v>
      </c>
      <c r="AG36" s="35">
        <v>8.9237924083305324E-3</v>
      </c>
      <c r="AH36" s="35">
        <v>5.7115703283742558E-3</v>
      </c>
      <c r="AI36" s="35">
        <v>4.0348374573221466E-3</v>
      </c>
      <c r="AJ36" s="35">
        <v>2.7103109703258401E-3</v>
      </c>
      <c r="AK36" s="34">
        <v>1.1210774666165119E-2</v>
      </c>
      <c r="AL36" s="35">
        <v>6.5590502089901678E-2</v>
      </c>
      <c r="AM36" s="35">
        <v>2.7692625744648362E-2</v>
      </c>
      <c r="AN36" s="35">
        <v>1.5707155313094523E-2</v>
      </c>
      <c r="AO36" s="35">
        <v>5.8300421200484231E-3</v>
      </c>
      <c r="AP36" s="35">
        <v>2.1298446521801516E-3</v>
      </c>
      <c r="AQ36" s="35">
        <v>9.869286671315041E-4</v>
      </c>
      <c r="AR36" s="34">
        <v>7.3976595635421555E-2</v>
      </c>
      <c r="AS36" s="35">
        <v>3.126134717043734E-2</v>
      </c>
      <c r="AT36" s="35">
        <v>9.8795873898204056E-3</v>
      </c>
      <c r="AU36" s="35">
        <v>3.897552127079049E-3</v>
      </c>
      <c r="AV36" s="62">
        <v>1.2753241844951049E-3</v>
      </c>
    </row>
    <row r="37" spans="1:48" x14ac:dyDescent="0.25">
      <c r="B37" s="10">
        <v>5</v>
      </c>
      <c r="C37" s="28">
        <v>0.1</v>
      </c>
      <c r="D37" s="29">
        <v>0.05</v>
      </c>
      <c r="E37" s="29">
        <v>0.24832099999999999</v>
      </c>
      <c r="F37" s="29">
        <v>0.60167899999999996</v>
      </c>
      <c r="G37" s="30">
        <v>283.47963299999998</v>
      </c>
      <c r="H37" s="31">
        <v>1.997036</v>
      </c>
      <c r="I37" s="32">
        <v>79999.999582000004</v>
      </c>
      <c r="J37" s="33">
        <v>1003.596557</v>
      </c>
      <c r="K37" s="105"/>
      <c r="L37" s="34">
        <v>0.14581465000000002</v>
      </c>
      <c r="M37" s="35">
        <v>7.4316735000000009E-2</v>
      </c>
      <c r="N37" s="35">
        <v>0.183033</v>
      </c>
      <c r="O37" s="35">
        <v>0.59683570000000008</v>
      </c>
      <c r="P37" s="30">
        <v>283.5</v>
      </c>
      <c r="Q37" s="31">
        <v>2</v>
      </c>
      <c r="R37" s="32">
        <v>80000</v>
      </c>
      <c r="S37" s="30">
        <v>935.52011096059266</v>
      </c>
      <c r="T37" s="35">
        <v>0.35825066477601303</v>
      </c>
      <c r="U37" s="34">
        <v>0.15194298155455677</v>
      </c>
      <c r="V37" s="35">
        <v>0.26202460930237104</v>
      </c>
      <c r="W37" s="35">
        <v>0.27624936979788989</v>
      </c>
      <c r="X37" s="35">
        <v>0.13358464750211585</v>
      </c>
      <c r="Y37" s="35">
        <v>5.6370416930958539E-2</v>
      </c>
      <c r="Z37" s="35">
        <v>0.11982797491210782</v>
      </c>
      <c r="AA37" s="34">
        <f t="shared" si="1"/>
        <v>0.4139675908569278</v>
      </c>
      <c r="AB37" s="34">
        <v>0.12452904486477412</v>
      </c>
      <c r="AC37" s="35">
        <v>6.3048055208660692E-2</v>
      </c>
      <c r="AD37" s="35">
        <v>3.5705502518917985E-2</v>
      </c>
      <c r="AE37" s="35">
        <v>2.0212458624733896E-2</v>
      </c>
      <c r="AF37" s="35">
        <v>1.1943018399392958E-2</v>
      </c>
      <c r="AG37" s="35">
        <v>8.6575445085272495E-3</v>
      </c>
      <c r="AH37" s="35">
        <v>5.5783996246323549E-3</v>
      </c>
      <c r="AI37" s="35">
        <v>3.9466819170851262E-3</v>
      </c>
      <c r="AJ37" s="35">
        <v>2.6286641311654996E-3</v>
      </c>
      <c r="AK37" s="34">
        <v>1.148722565330452E-2</v>
      </c>
      <c r="AL37" s="35">
        <v>6.6806267719131757E-2</v>
      </c>
      <c r="AM37" s="35">
        <v>2.9099687690747323E-2</v>
      </c>
      <c r="AN37" s="35">
        <v>1.653989200567459E-2</v>
      </c>
      <c r="AO37" s="35">
        <v>6.2039539592396624E-3</v>
      </c>
      <c r="AP37" s="35">
        <v>2.3444227396297603E-3</v>
      </c>
      <c r="AQ37" s="35">
        <v>1.1031977343882585E-3</v>
      </c>
      <c r="AR37" s="34">
        <v>7.3928554308272623E-2</v>
      </c>
      <c r="AS37" s="35">
        <v>3.1090576699551637E-2</v>
      </c>
      <c r="AT37" s="35">
        <v>9.8101249387348207E-3</v>
      </c>
      <c r="AU37" s="35">
        <v>3.762653839635454E-3</v>
      </c>
      <c r="AV37" s="62">
        <v>1.2360651259133006E-3</v>
      </c>
    </row>
    <row r="38" spans="1:48" x14ac:dyDescent="0.25">
      <c r="A38" s="15"/>
      <c r="B38" s="15">
        <v>6</v>
      </c>
      <c r="C38" s="40">
        <v>0.1</v>
      </c>
      <c r="D38" s="41">
        <v>0.05</v>
      </c>
      <c r="E38" s="41">
        <v>0.22373799999999999</v>
      </c>
      <c r="F38" s="41">
        <v>0.62626199999999999</v>
      </c>
      <c r="G38" s="42">
        <v>284.20784600000002</v>
      </c>
      <c r="H38" s="43">
        <v>2.4788019999999999</v>
      </c>
      <c r="I38" s="44">
        <v>89999.993000999995</v>
      </c>
      <c r="J38" s="45">
        <v>1070.9281350000001</v>
      </c>
      <c r="K38" s="106"/>
      <c r="L38" s="46">
        <v>0.11717000000000001</v>
      </c>
      <c r="M38" s="47">
        <v>9.5629589999999987E-2</v>
      </c>
      <c r="N38" s="47">
        <v>0.14434239999999998</v>
      </c>
      <c r="O38" s="47">
        <v>0.64285804999999996</v>
      </c>
      <c r="P38" s="42">
        <v>284.2</v>
      </c>
      <c r="Q38" s="43">
        <v>2.4700000000000002</v>
      </c>
      <c r="R38" s="44">
        <v>90000</v>
      </c>
      <c r="S38" s="42">
        <v>1030.0846777947106</v>
      </c>
      <c r="T38" s="47">
        <v>0.39128609609577031</v>
      </c>
      <c r="U38" s="46">
        <v>0.13586084389319633</v>
      </c>
      <c r="V38" s="47">
        <v>0.28113083451652982</v>
      </c>
      <c r="W38" s="47">
        <v>0.28509150300666242</v>
      </c>
      <c r="X38" s="47">
        <v>0.117186272141533</v>
      </c>
      <c r="Y38" s="47">
        <v>6.6272649050580834E-2</v>
      </c>
      <c r="Z38" s="47">
        <v>0.11445789739149727</v>
      </c>
      <c r="AA38" s="46">
        <f t="shared" si="1"/>
        <v>0.41699167840972617</v>
      </c>
      <c r="AB38" s="46">
        <v>0.11667134448444688</v>
      </c>
      <c r="AC38" s="47">
        <v>6.1406120555001588E-2</v>
      </c>
      <c r="AD38" s="47">
        <v>4.1938439533673481E-2</v>
      </c>
      <c r="AE38" s="47">
        <v>2.5084383409484139E-2</v>
      </c>
      <c r="AF38" s="47">
        <v>1.430593118443752E-2</v>
      </c>
      <c r="AG38" s="47">
        <v>9.5564086824247631E-3</v>
      </c>
      <c r="AH38" s="47">
        <v>6.5108505863392249E-3</v>
      </c>
      <c r="AI38" s="47">
        <v>4.7214670518965817E-3</v>
      </c>
      <c r="AJ38" s="47">
        <v>4.8965575189583018E-3</v>
      </c>
      <c r="AK38" s="46">
        <v>9.0050089888584449E-3</v>
      </c>
      <c r="AL38" s="47">
        <v>6.1178771663854804E-2</v>
      </c>
      <c r="AM38" s="47">
        <v>2.4695168828769289E-2</v>
      </c>
      <c r="AN38" s="47">
        <v>1.4513550479261637E-2</v>
      </c>
      <c r="AO38" s="47">
        <v>5.123483388725667E-3</v>
      </c>
      <c r="AP38" s="47">
        <v>1.7544550879875665E-3</v>
      </c>
      <c r="AQ38" s="47">
        <v>9.1583370407559211E-4</v>
      </c>
      <c r="AR38" s="46">
        <v>7.4508903635734855E-2</v>
      </c>
      <c r="AS38" s="47">
        <v>2.8021791498689764E-2</v>
      </c>
      <c r="AT38" s="47">
        <v>7.9341042012342957E-3</v>
      </c>
      <c r="AU38" s="47">
        <v>3.1009603765261313E-3</v>
      </c>
      <c r="AV38" s="63">
        <v>8.9213767931222874E-4</v>
      </c>
    </row>
  </sheetData>
  <mergeCells count="20">
    <mergeCell ref="B1:B2"/>
    <mergeCell ref="C1:F1"/>
    <mergeCell ref="G1:I1"/>
    <mergeCell ref="K1:K2"/>
    <mergeCell ref="L1:O1"/>
    <mergeCell ref="AK1:AQ1"/>
    <mergeCell ref="AR1:AV1"/>
    <mergeCell ref="U1:Z1"/>
    <mergeCell ref="P1:R1"/>
    <mergeCell ref="S1:T1"/>
    <mergeCell ref="K9:K10"/>
    <mergeCell ref="K3:K5"/>
    <mergeCell ref="K6:K8"/>
    <mergeCell ref="K11:K14"/>
    <mergeCell ref="AB1:AJ1"/>
    <mergeCell ref="K15:K16"/>
    <mergeCell ref="K17:K20"/>
    <mergeCell ref="K27:K32"/>
    <mergeCell ref="K22:K26"/>
    <mergeCell ref="K34:K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20"/>
  <sheetViews>
    <sheetView tabSelected="1" zoomScale="70" zoomScaleNormal="70" workbookViewId="0">
      <pane ySplit="2" topLeftCell="A3" activePane="bottomLeft" state="frozen"/>
      <selection pane="bottomLeft"/>
    </sheetView>
  </sheetViews>
  <sheetFormatPr defaultColWidth="9.140625" defaultRowHeight="15.75" x14ac:dyDescent="0.25"/>
  <cols>
    <col min="1" max="2" width="9.140625" style="10"/>
    <col min="3" max="3" width="9.140625" style="65"/>
    <col min="4" max="6" width="9.140625" style="10"/>
    <col min="7" max="7" width="9.140625" style="65"/>
    <col min="8" max="8" width="9.140625" style="10"/>
    <col min="9" max="9" width="20.28515625" style="10" bestFit="1" customWidth="1"/>
    <col min="10" max="10" width="20" style="65" bestFit="1" customWidth="1"/>
    <col min="11" max="11" width="14" style="10" customWidth="1"/>
    <col min="12" max="12" width="14" style="72" customWidth="1"/>
    <col min="13" max="13" width="9.140625" style="65"/>
    <col min="14" max="16" width="9.140625" style="10"/>
    <col min="17" max="17" width="9.140625" style="65"/>
    <col min="18" max="18" width="9.140625" style="10"/>
    <col min="19" max="19" width="20.28515625" style="10" bestFit="1" customWidth="1"/>
    <col min="20" max="20" width="20" style="30" bestFit="1" customWidth="1"/>
    <col min="21" max="21" width="15.28515625" style="10" bestFit="1" customWidth="1"/>
    <col min="22" max="22" width="9.140625" style="65"/>
    <col min="23" max="27" width="9.140625" style="10"/>
    <col min="28" max="29" width="9.140625" style="65"/>
    <col min="30" max="37" width="9.140625" style="10"/>
    <col min="38" max="38" width="9.140625" style="65"/>
    <col min="39" max="44" width="9.140625" style="10"/>
    <col min="45" max="45" width="9.140625" style="65"/>
    <col min="46" max="48" width="9.140625" style="10"/>
    <col min="49" max="49" width="9.140625" style="71"/>
    <col min="50" max="16384" width="9.140625" style="10"/>
  </cols>
  <sheetData>
    <row r="1" spans="1:49" ht="15.75" customHeight="1" x14ac:dyDescent="0.25">
      <c r="B1" s="84" t="s">
        <v>11</v>
      </c>
      <c r="C1" s="99" t="s">
        <v>39</v>
      </c>
      <c r="D1" s="100"/>
      <c r="E1" s="100"/>
      <c r="F1" s="100"/>
      <c r="G1" s="99" t="s">
        <v>50</v>
      </c>
      <c r="H1" s="100"/>
      <c r="I1" s="100"/>
      <c r="J1" s="99" t="s">
        <v>42</v>
      </c>
      <c r="K1" s="100"/>
      <c r="L1" s="101" t="s">
        <v>40</v>
      </c>
      <c r="M1" s="91" t="s">
        <v>19</v>
      </c>
      <c r="N1" s="92"/>
      <c r="O1" s="92"/>
      <c r="P1" s="92"/>
      <c r="Q1" s="91" t="s">
        <v>32</v>
      </c>
      <c r="R1" s="92"/>
      <c r="S1" s="92"/>
      <c r="T1" s="88" t="s">
        <v>37</v>
      </c>
      <c r="U1" s="89"/>
      <c r="V1" s="88" t="s">
        <v>38</v>
      </c>
      <c r="W1" s="90"/>
      <c r="X1" s="90"/>
      <c r="Y1" s="90"/>
      <c r="Z1" s="90"/>
      <c r="AA1" s="90"/>
      <c r="AB1" s="70" t="s">
        <v>30</v>
      </c>
      <c r="AC1" s="93" t="s">
        <v>6</v>
      </c>
      <c r="AD1" s="94"/>
      <c r="AE1" s="94"/>
      <c r="AF1" s="94"/>
      <c r="AG1" s="94"/>
      <c r="AH1" s="94"/>
      <c r="AI1" s="94"/>
      <c r="AJ1" s="94"/>
      <c r="AK1" s="107"/>
      <c r="AL1" s="95" t="s">
        <v>5</v>
      </c>
      <c r="AM1" s="96"/>
      <c r="AN1" s="96"/>
      <c r="AO1" s="96"/>
      <c r="AP1" s="96"/>
      <c r="AQ1" s="96"/>
      <c r="AR1" s="96"/>
      <c r="AS1" s="86" t="s">
        <v>8</v>
      </c>
      <c r="AT1" s="87"/>
      <c r="AU1" s="87"/>
      <c r="AV1" s="87"/>
      <c r="AW1" s="87"/>
    </row>
    <row r="2" spans="1:49" ht="18.75" x14ac:dyDescent="0.25">
      <c r="A2" s="15"/>
      <c r="B2" s="85"/>
      <c r="C2" s="67" t="s">
        <v>0</v>
      </c>
      <c r="D2" s="68" t="s">
        <v>1</v>
      </c>
      <c r="E2" s="68" t="s">
        <v>2</v>
      </c>
      <c r="F2" s="68" t="s">
        <v>3</v>
      </c>
      <c r="G2" s="67" t="s">
        <v>4</v>
      </c>
      <c r="H2" s="68" t="s">
        <v>33</v>
      </c>
      <c r="I2" s="68" t="s">
        <v>31</v>
      </c>
      <c r="J2" s="69" t="s">
        <v>20</v>
      </c>
      <c r="K2" s="78" t="s">
        <v>41</v>
      </c>
      <c r="L2" s="102"/>
      <c r="M2" s="16" t="s">
        <v>0</v>
      </c>
      <c r="N2" s="17" t="s">
        <v>1</v>
      </c>
      <c r="O2" s="17" t="s">
        <v>2</v>
      </c>
      <c r="P2" s="17" t="s">
        <v>3</v>
      </c>
      <c r="Q2" s="16" t="s">
        <v>4</v>
      </c>
      <c r="R2" s="17" t="s">
        <v>33</v>
      </c>
      <c r="S2" s="17" t="s">
        <v>31</v>
      </c>
      <c r="T2" s="18" t="s">
        <v>20</v>
      </c>
      <c r="U2" s="19" t="s">
        <v>29</v>
      </c>
      <c r="V2" s="20" t="s">
        <v>34</v>
      </c>
      <c r="W2" s="21" t="s">
        <v>35</v>
      </c>
      <c r="X2" s="12" t="s">
        <v>6</v>
      </c>
      <c r="Y2" s="13" t="s">
        <v>5</v>
      </c>
      <c r="Z2" s="22" t="s">
        <v>7</v>
      </c>
      <c r="AA2" s="14" t="s">
        <v>8</v>
      </c>
      <c r="AB2" s="23" t="s">
        <v>9</v>
      </c>
      <c r="AC2" s="24" t="s">
        <v>21</v>
      </c>
      <c r="AD2" s="25" t="s">
        <v>22</v>
      </c>
      <c r="AE2" s="25" t="s">
        <v>23</v>
      </c>
      <c r="AF2" s="25" t="s">
        <v>24</v>
      </c>
      <c r="AG2" s="25" t="s">
        <v>25</v>
      </c>
      <c r="AH2" s="25" t="s">
        <v>26</v>
      </c>
      <c r="AI2" s="25" t="s">
        <v>27</v>
      </c>
      <c r="AJ2" s="25" t="s">
        <v>28</v>
      </c>
      <c r="AK2" s="25" t="s">
        <v>48</v>
      </c>
      <c r="AL2" s="24" t="s">
        <v>21</v>
      </c>
      <c r="AM2" s="25" t="s">
        <v>22</v>
      </c>
      <c r="AN2" s="25" t="s">
        <v>23</v>
      </c>
      <c r="AO2" s="25" t="s">
        <v>24</v>
      </c>
      <c r="AP2" s="25" t="s">
        <v>25</v>
      </c>
      <c r="AQ2" s="25" t="s">
        <v>26</v>
      </c>
      <c r="AR2" s="25" t="s">
        <v>47</v>
      </c>
      <c r="AS2" s="24" t="s">
        <v>21</v>
      </c>
      <c r="AT2" s="25" t="s">
        <v>22</v>
      </c>
      <c r="AU2" s="25" t="s">
        <v>23</v>
      </c>
      <c r="AV2" s="25" t="s">
        <v>24</v>
      </c>
      <c r="AW2" s="26" t="s">
        <v>49</v>
      </c>
    </row>
    <row r="3" spans="1:49" x14ac:dyDescent="0.25">
      <c r="A3" s="54" t="s">
        <v>12</v>
      </c>
      <c r="B3" s="52">
        <v>1</v>
      </c>
      <c r="C3" s="28">
        <v>0.1</v>
      </c>
      <c r="D3" s="29">
        <v>0.16168399999999999</v>
      </c>
      <c r="E3" s="29">
        <v>0.33831600000000001</v>
      </c>
      <c r="F3" s="29">
        <v>0.4</v>
      </c>
      <c r="G3" s="30">
        <v>257.14498900000001</v>
      </c>
      <c r="H3" s="31">
        <v>1.8826229999999999</v>
      </c>
      <c r="I3" s="32">
        <v>77470.931544999999</v>
      </c>
      <c r="J3" s="75">
        <v>653.90198699999996</v>
      </c>
      <c r="K3" s="36">
        <v>-25.135114000000002</v>
      </c>
      <c r="L3" s="109" t="s">
        <v>43</v>
      </c>
      <c r="M3" s="34">
        <v>8.0067594263868558E-2</v>
      </c>
      <c r="N3" s="35">
        <v>0.16555030166164458</v>
      </c>
      <c r="O3" s="35">
        <v>0.35075381824570318</v>
      </c>
      <c r="P3" s="35">
        <v>0.40362828582878363</v>
      </c>
      <c r="Q3" s="30">
        <v>257.10000000000002</v>
      </c>
      <c r="R3" s="31">
        <v>1.88</v>
      </c>
      <c r="S3" s="32">
        <v>77400</v>
      </c>
      <c r="T3" s="30">
        <v>186.13650317857571</v>
      </c>
      <c r="U3" s="35">
        <v>9.883846638602431E-2</v>
      </c>
      <c r="V3" s="34">
        <v>4.0190156828756672E-2</v>
      </c>
      <c r="W3" s="35">
        <v>0.30589783673208026</v>
      </c>
      <c r="X3" s="35">
        <v>0.18577936672611919</v>
      </c>
      <c r="Y3" s="35">
        <v>0.27271579565068144</v>
      </c>
      <c r="Z3" s="35">
        <v>6.690899371087658E-2</v>
      </c>
      <c r="AA3" s="35">
        <v>0.12850785035148773</v>
      </c>
      <c r="AB3" s="34">
        <f t="shared" ref="AB3:AB11" si="0">(V3+W3)</f>
        <v>0.34608799356083692</v>
      </c>
      <c r="AC3" s="34">
        <v>9.2337694318298136E-2</v>
      </c>
      <c r="AD3" s="35">
        <v>3.6198266188517271E-2</v>
      </c>
      <c r="AE3" s="35">
        <v>2.6000343216351501E-2</v>
      </c>
      <c r="AF3" s="35">
        <v>1.5243961769350048E-2</v>
      </c>
      <c r="AG3" s="35">
        <v>9.6324827663470912E-3</v>
      </c>
      <c r="AH3" s="35">
        <v>6.3666184672551548E-3</v>
      </c>
      <c r="AI3" s="35">
        <v>0</v>
      </c>
      <c r="AJ3" s="35">
        <v>0</v>
      </c>
      <c r="AK3" s="35">
        <v>0</v>
      </c>
      <c r="AL3" s="34">
        <v>6.6403755024837557E-2</v>
      </c>
      <c r="AM3" s="35">
        <v>0.10756448568502641</v>
      </c>
      <c r="AN3" s="35">
        <v>5.4458684636309103E-2</v>
      </c>
      <c r="AO3" s="35">
        <v>2.8530566970911796E-2</v>
      </c>
      <c r="AP3" s="35">
        <v>1.0497316838612682E-2</v>
      </c>
      <c r="AQ3" s="35">
        <v>5.2609864949838842E-3</v>
      </c>
      <c r="AR3" s="35">
        <v>0</v>
      </c>
      <c r="AS3" s="34">
        <v>7.727810784583572E-2</v>
      </c>
      <c r="AT3" s="35">
        <v>3.8943623496319621E-2</v>
      </c>
      <c r="AU3" s="35">
        <v>7.3322740142773655E-3</v>
      </c>
      <c r="AV3" s="35">
        <v>4.9538449950550165E-3</v>
      </c>
      <c r="AW3" s="62">
        <v>0</v>
      </c>
    </row>
    <row r="4" spans="1:49" x14ac:dyDescent="0.25">
      <c r="B4" s="10">
        <v>2</v>
      </c>
      <c r="C4" s="28">
        <v>0.1</v>
      </c>
      <c r="D4" s="29">
        <v>5.0000999999999997E-2</v>
      </c>
      <c r="E4" s="29">
        <v>5.0000999999999997E-2</v>
      </c>
      <c r="F4" s="29">
        <v>0.79999799999999999</v>
      </c>
      <c r="G4" s="30">
        <v>233.89426700000001</v>
      </c>
      <c r="H4" s="31">
        <v>2.7816190000000001</v>
      </c>
      <c r="I4" s="32">
        <v>79999.946649999998</v>
      </c>
      <c r="J4" s="75">
        <v>324.67081400000001</v>
      </c>
      <c r="K4" s="36">
        <v>-30.617397</v>
      </c>
      <c r="L4" s="110"/>
      <c r="M4" s="34">
        <v>7.5389440000000002E-2</v>
      </c>
      <c r="N4" s="35">
        <v>5.7397515000000003E-2</v>
      </c>
      <c r="O4" s="35">
        <v>6.0553210000000003E-2</v>
      </c>
      <c r="P4" s="35">
        <v>0.80665979999999993</v>
      </c>
      <c r="Q4" s="30">
        <v>233.9</v>
      </c>
      <c r="R4" s="31">
        <v>2.78</v>
      </c>
      <c r="S4" s="32">
        <v>80000.100000000006</v>
      </c>
      <c r="T4" s="30">
        <v>233.2247309501395</v>
      </c>
      <c r="U4" s="35">
        <v>0.10516825258279411</v>
      </c>
      <c r="V4" s="34">
        <v>6.1561210123921906E-2</v>
      </c>
      <c r="W4" s="35">
        <v>0.24753758677652771</v>
      </c>
      <c r="X4" s="35">
        <v>0.24444170642319182</v>
      </c>
      <c r="Y4" s="35">
        <v>0.14254097476589517</v>
      </c>
      <c r="Z4" s="35">
        <v>0.15417860845683587</v>
      </c>
      <c r="AA4" s="35">
        <v>0.14973991345362669</v>
      </c>
      <c r="AB4" s="34">
        <f t="shared" si="0"/>
        <v>0.30909879690044961</v>
      </c>
      <c r="AC4" s="34">
        <v>9.2132696270674275E-2</v>
      </c>
      <c r="AD4" s="35">
        <v>4.7467798436398589E-2</v>
      </c>
      <c r="AE4" s="35">
        <v>3.4454859640346655E-2</v>
      </c>
      <c r="AF4" s="35">
        <v>2.2433106695680143E-2</v>
      </c>
      <c r="AG4" s="35">
        <v>1.6648879845475945E-2</v>
      </c>
      <c r="AH4" s="35">
        <v>1.2115069706017209E-2</v>
      </c>
      <c r="AI4" s="35">
        <v>8.696790218346663E-3</v>
      </c>
      <c r="AJ4" s="35">
        <v>6.2156335564901881E-3</v>
      </c>
      <c r="AK4" s="35">
        <v>4.2768720537621364E-3</v>
      </c>
      <c r="AL4" s="34">
        <v>1.5072743837334267E-2</v>
      </c>
      <c r="AM4" s="35">
        <v>6.3290669428800475E-2</v>
      </c>
      <c r="AN4" s="35">
        <v>3.1412742905958982E-2</v>
      </c>
      <c r="AO4" s="35">
        <v>2.0493311027687394E-2</v>
      </c>
      <c r="AP4" s="35">
        <v>8.0764721614047363E-3</v>
      </c>
      <c r="AQ4" s="35">
        <v>4.1950354047093266E-3</v>
      </c>
      <c r="AR4" s="35">
        <v>0</v>
      </c>
      <c r="AS4" s="34">
        <v>9.9096833475721E-2</v>
      </c>
      <c r="AT4" s="35">
        <v>3.1681755879171186E-2</v>
      </c>
      <c r="AU4" s="35">
        <v>1.2306103610528992E-2</v>
      </c>
      <c r="AV4" s="35">
        <v>6.6552204882055228E-3</v>
      </c>
      <c r="AW4" s="62">
        <v>0</v>
      </c>
    </row>
    <row r="5" spans="1:49" x14ac:dyDescent="0.25">
      <c r="B5" s="10">
        <v>3</v>
      </c>
      <c r="C5" s="28">
        <v>0.1</v>
      </c>
      <c r="D5" s="29">
        <v>0.13932900000000001</v>
      </c>
      <c r="E5" s="29">
        <v>0.43246600000000002</v>
      </c>
      <c r="F5" s="29">
        <v>0.32820500000000002</v>
      </c>
      <c r="G5" s="30">
        <v>269.60865899999999</v>
      </c>
      <c r="H5" s="31">
        <v>2.0295540000000001</v>
      </c>
      <c r="I5" s="32">
        <v>80000.000000999993</v>
      </c>
      <c r="J5" s="75">
        <v>855.62141999999994</v>
      </c>
      <c r="K5" s="36">
        <v>-28.336580000000001</v>
      </c>
      <c r="L5" s="110"/>
      <c r="M5" s="34">
        <v>7.1127724435814513E-2</v>
      </c>
      <c r="N5" s="35">
        <v>0.14009970518494824</v>
      </c>
      <c r="O5" s="35">
        <v>0.4515042175055935</v>
      </c>
      <c r="P5" s="35">
        <v>0.33726835287364387</v>
      </c>
      <c r="Q5" s="30">
        <v>269.60000000000002</v>
      </c>
      <c r="R5" s="31">
        <v>2.0299999999999998</v>
      </c>
      <c r="S5" s="32">
        <v>80000.100000000006</v>
      </c>
      <c r="T5" s="30">
        <v>297.38149347558709</v>
      </c>
      <c r="U5" s="35">
        <v>0.15329484994842518</v>
      </c>
      <c r="V5" s="34">
        <v>5.4819272459681725E-2</v>
      </c>
      <c r="W5" s="35">
        <v>0.25521043744287725</v>
      </c>
      <c r="X5" s="35">
        <v>0.27555812820871101</v>
      </c>
      <c r="Y5" s="35">
        <v>0.26331661577217325</v>
      </c>
      <c r="Z5" s="35">
        <v>4.1818778458895978E-2</v>
      </c>
      <c r="AA5" s="35">
        <v>0.10927676765766055</v>
      </c>
      <c r="AB5" s="34">
        <f t="shared" si="0"/>
        <v>0.31002970990255896</v>
      </c>
      <c r="AC5" s="34">
        <v>0.12267360946625414</v>
      </c>
      <c r="AD5" s="35">
        <v>5.9730200775406479E-2</v>
      </c>
      <c r="AE5" s="35">
        <v>3.4356861218739265E-2</v>
      </c>
      <c r="AF5" s="35">
        <v>2.0022776116206752E-2</v>
      </c>
      <c r="AG5" s="35">
        <v>1.389284419484153E-2</v>
      </c>
      <c r="AH5" s="35">
        <v>1.0077001598383782E-2</v>
      </c>
      <c r="AI5" s="35">
        <v>6.6195690420237478E-3</v>
      </c>
      <c r="AJ5" s="35">
        <v>4.992854421057639E-3</v>
      </c>
      <c r="AK5" s="35">
        <v>3.1924113757976708E-3</v>
      </c>
      <c r="AL5" s="34">
        <v>3.5366450225978521E-2</v>
      </c>
      <c r="AM5" s="35">
        <v>0.12448836275943359</v>
      </c>
      <c r="AN5" s="35">
        <v>5.7040126777293892E-2</v>
      </c>
      <c r="AO5" s="35">
        <v>2.8576261114486141E-2</v>
      </c>
      <c r="AP5" s="35">
        <v>1.0885128717573949E-2</v>
      </c>
      <c r="AQ5" s="35">
        <v>4.8059777174921277E-3</v>
      </c>
      <c r="AR5" s="35">
        <v>2.1543084599150702E-3</v>
      </c>
      <c r="AS5" s="34">
        <v>6.0871809002083763E-2</v>
      </c>
      <c r="AT5" s="35">
        <v>2.9860445452183929E-2</v>
      </c>
      <c r="AU5" s="35">
        <v>1.1535547411300799E-2</v>
      </c>
      <c r="AV5" s="35">
        <v>5.4802510205850287E-3</v>
      </c>
      <c r="AW5" s="62">
        <v>1.5287147715070271E-3</v>
      </c>
    </row>
    <row r="6" spans="1:49" x14ac:dyDescent="0.25">
      <c r="B6" s="10">
        <v>4</v>
      </c>
      <c r="C6" s="28">
        <v>0.1</v>
      </c>
      <c r="D6" s="29">
        <v>0.127026</v>
      </c>
      <c r="E6" s="29">
        <v>0.37297000000000002</v>
      </c>
      <c r="F6" s="29">
        <v>0.40000400000000003</v>
      </c>
      <c r="G6" s="30">
        <v>271.712087</v>
      </c>
      <c r="H6" s="31">
        <v>2.103567</v>
      </c>
      <c r="I6" s="32">
        <v>79999.996797999993</v>
      </c>
      <c r="J6" s="75">
        <v>915.27528800000005</v>
      </c>
      <c r="K6" s="36">
        <v>-30.991990000000001</v>
      </c>
      <c r="L6" s="110"/>
      <c r="M6" s="34">
        <v>9.6902765000000002E-2</v>
      </c>
      <c r="N6" s="35">
        <v>9.4224710000000003E-2</v>
      </c>
      <c r="O6" s="35">
        <v>0.38341655000000002</v>
      </c>
      <c r="P6" s="35">
        <v>0.425456</v>
      </c>
      <c r="Q6" s="30">
        <v>271.7</v>
      </c>
      <c r="R6" s="31">
        <v>2.1</v>
      </c>
      <c r="S6" s="32">
        <v>80000</v>
      </c>
      <c r="T6" s="30">
        <v>406.32357430114439</v>
      </c>
      <c r="U6" s="35">
        <v>0.20250675951669592</v>
      </c>
      <c r="V6" s="34">
        <v>9.0668682989615348E-2</v>
      </c>
      <c r="W6" s="35">
        <v>0.26805599941620095</v>
      </c>
      <c r="X6" s="35">
        <v>0.24985447756530713</v>
      </c>
      <c r="Y6" s="35">
        <v>0.21165331162404938</v>
      </c>
      <c r="Z6" s="35">
        <v>5.5781228498770749E-2</v>
      </c>
      <c r="AA6" s="35">
        <v>0.12398629990605557</v>
      </c>
      <c r="AB6" s="34">
        <f t="shared" si="0"/>
        <v>0.35872468240581629</v>
      </c>
      <c r="AC6" s="34">
        <v>0.1181455170530908</v>
      </c>
      <c r="AD6" s="35">
        <v>4.544353982004553E-2</v>
      </c>
      <c r="AE6" s="35">
        <v>3.2796431724433889E-2</v>
      </c>
      <c r="AF6" s="35">
        <v>1.9334932403676335E-2</v>
      </c>
      <c r="AG6" s="35">
        <v>1.2123714826472447E-2</v>
      </c>
      <c r="AH6" s="35">
        <v>8.287714045093101E-3</v>
      </c>
      <c r="AI6" s="35">
        <v>6.2178337048359291E-3</v>
      </c>
      <c r="AJ6" s="35">
        <v>4.7051624873133196E-3</v>
      </c>
      <c r="AK6" s="35">
        <v>2.7996315003457999E-3</v>
      </c>
      <c r="AL6" s="34">
        <v>3.163204003644874E-2</v>
      </c>
      <c r="AM6" s="35">
        <v>0.10124069358127499</v>
      </c>
      <c r="AN6" s="35">
        <v>4.6003536091592134E-2</v>
      </c>
      <c r="AO6" s="35">
        <v>2.2189522843343145E-2</v>
      </c>
      <c r="AP6" s="35">
        <v>7.5220623897143749E-3</v>
      </c>
      <c r="AQ6" s="35">
        <v>3.0654566816760266E-3</v>
      </c>
      <c r="AR6" s="35">
        <v>0</v>
      </c>
      <c r="AS6" s="34">
        <v>7.2549185991869158E-2</v>
      </c>
      <c r="AT6" s="35">
        <v>3.9795209168112369E-2</v>
      </c>
      <c r="AU6" s="35">
        <v>9.4015825094240293E-3</v>
      </c>
      <c r="AV6" s="35">
        <v>2.2403222366500124E-3</v>
      </c>
      <c r="AW6" s="62">
        <v>0</v>
      </c>
    </row>
    <row r="7" spans="1:49" x14ac:dyDescent="0.25">
      <c r="B7" s="10">
        <v>5</v>
      </c>
      <c r="C7" s="28">
        <v>0.1</v>
      </c>
      <c r="D7" s="29">
        <v>0.116011</v>
      </c>
      <c r="E7" s="29">
        <v>0.29334100000000002</v>
      </c>
      <c r="F7" s="29">
        <v>0.49064799999999997</v>
      </c>
      <c r="G7" s="30">
        <v>273.52461</v>
      </c>
      <c r="H7" s="31">
        <v>2.184561</v>
      </c>
      <c r="I7" s="32">
        <v>79999.995192999995</v>
      </c>
      <c r="J7" s="75">
        <v>968.18430799999999</v>
      </c>
      <c r="K7" s="36">
        <v>-34.225419000000002</v>
      </c>
      <c r="L7" s="110"/>
      <c r="M7" s="34">
        <v>0.10103325</v>
      </c>
      <c r="N7" s="35">
        <v>0.11953509999999999</v>
      </c>
      <c r="O7" s="35">
        <v>0.27670119999999998</v>
      </c>
      <c r="P7" s="35">
        <v>0.50273045000000005</v>
      </c>
      <c r="Q7" s="30">
        <v>273.5</v>
      </c>
      <c r="R7" s="31">
        <v>2.1800000000000002</v>
      </c>
      <c r="S7" s="32">
        <v>80000</v>
      </c>
      <c r="T7" s="30">
        <v>484.84761556857092</v>
      </c>
      <c r="U7" s="35">
        <v>0.21245543535563141</v>
      </c>
      <c r="V7" s="34">
        <v>0.11234963886352717</v>
      </c>
      <c r="W7" s="35">
        <v>0.23656919611031091</v>
      </c>
      <c r="X7" s="35">
        <v>0.28391035226491562</v>
      </c>
      <c r="Y7" s="35">
        <v>0.21074814584948229</v>
      </c>
      <c r="Z7" s="35">
        <v>4.518100475929087E-2</v>
      </c>
      <c r="AA7" s="35">
        <v>0.11124166215247445</v>
      </c>
      <c r="AB7" s="34">
        <f t="shared" si="0"/>
        <v>0.34891883497383808</v>
      </c>
      <c r="AC7" s="34">
        <v>0.11796247847681801</v>
      </c>
      <c r="AD7" s="35">
        <v>5.4869903230827244E-2</v>
      </c>
      <c r="AE7" s="35">
        <v>4.0892262056515763E-2</v>
      </c>
      <c r="AF7" s="35">
        <v>2.561653117849878E-2</v>
      </c>
      <c r="AG7" s="35">
        <v>1.6503601235199727E-2</v>
      </c>
      <c r="AH7" s="35">
        <v>1.124524541562243E-2</v>
      </c>
      <c r="AI7" s="35">
        <v>8.5271832883737891E-3</v>
      </c>
      <c r="AJ7" s="35">
        <v>6.0931003469204513E-3</v>
      </c>
      <c r="AK7" s="35">
        <v>2.2000470361394687E-3</v>
      </c>
      <c r="AL7" s="34">
        <v>2.2206131999170927E-2</v>
      </c>
      <c r="AM7" s="35">
        <v>0.10149880950131571</v>
      </c>
      <c r="AN7" s="35">
        <v>4.6818731492369502E-2</v>
      </c>
      <c r="AO7" s="35">
        <v>2.4952724538963383E-2</v>
      </c>
      <c r="AP7" s="35">
        <v>9.3793330113619913E-3</v>
      </c>
      <c r="AQ7" s="35">
        <v>3.7767619653203592E-3</v>
      </c>
      <c r="AR7" s="35">
        <v>2.1156533409803923E-3</v>
      </c>
      <c r="AS7" s="34">
        <v>5.8244114249645831E-2</v>
      </c>
      <c r="AT7" s="35">
        <v>3.593689626902527E-2</v>
      </c>
      <c r="AU7" s="35">
        <v>1.1260517862645085E-2</v>
      </c>
      <c r="AV7" s="35">
        <v>4.2450613314494205E-3</v>
      </c>
      <c r="AW7" s="62">
        <v>1.5550724397088616E-3</v>
      </c>
    </row>
    <row r="8" spans="1:49" x14ac:dyDescent="0.25">
      <c r="B8" s="15">
        <v>6</v>
      </c>
      <c r="C8" s="40">
        <v>0.1</v>
      </c>
      <c r="D8" s="41">
        <v>7.8297000000000005E-2</v>
      </c>
      <c r="E8" s="41">
        <v>0.28288200000000002</v>
      </c>
      <c r="F8" s="41">
        <v>0.53882099999999999</v>
      </c>
      <c r="G8" s="42">
        <v>279.29106100000001</v>
      </c>
      <c r="H8" s="43">
        <v>2.2185510000000002</v>
      </c>
      <c r="I8" s="44">
        <v>79999.998206000004</v>
      </c>
      <c r="J8" s="76">
        <v>1017.002463</v>
      </c>
      <c r="K8" s="48">
        <v>-39.892294</v>
      </c>
      <c r="L8" s="111"/>
      <c r="M8" s="46">
        <v>0.13120509999999999</v>
      </c>
      <c r="N8" s="47">
        <v>8.0801599999999987E-2</v>
      </c>
      <c r="O8" s="47">
        <v>0.25022295</v>
      </c>
      <c r="P8" s="47">
        <v>0.53777039999999998</v>
      </c>
      <c r="Q8" s="42">
        <v>279.3</v>
      </c>
      <c r="R8" s="43">
        <v>2.23</v>
      </c>
      <c r="S8" s="44">
        <v>80000</v>
      </c>
      <c r="T8" s="42">
        <v>519.61238242195361</v>
      </c>
      <c r="U8" s="47">
        <v>0.23507736784062991</v>
      </c>
      <c r="V8" s="46">
        <v>0.11469865571713</v>
      </c>
      <c r="W8" s="47">
        <v>0.27261926044711726</v>
      </c>
      <c r="X8" s="47">
        <v>0.26345010309612032</v>
      </c>
      <c r="Y8" s="47">
        <v>0.18037797556605631</v>
      </c>
      <c r="Z8" s="47">
        <v>5.421142287677401E-2</v>
      </c>
      <c r="AA8" s="47">
        <v>0.11464258229680151</v>
      </c>
      <c r="AB8" s="46">
        <f t="shared" si="0"/>
        <v>0.38731791616424727</v>
      </c>
      <c r="AC8" s="46">
        <v>0.13396823129202703</v>
      </c>
      <c r="AD8" s="47">
        <v>5.0559722968839468E-2</v>
      </c>
      <c r="AE8" s="47">
        <v>3.0472921963266959E-2</v>
      </c>
      <c r="AF8" s="47">
        <v>1.7660471076593576E-2</v>
      </c>
      <c r="AG8" s="47">
        <v>1.1328614989019686E-2</v>
      </c>
      <c r="AH8" s="47">
        <v>8.1262304379600431E-3</v>
      </c>
      <c r="AI8" s="47">
        <v>5.2742139372782063E-3</v>
      </c>
      <c r="AJ8" s="47">
        <v>3.7021041860179557E-3</v>
      </c>
      <c r="AK8" s="47">
        <v>2.3575922451174128E-3</v>
      </c>
      <c r="AL8" s="46">
        <v>2.3795208548496941E-2</v>
      </c>
      <c r="AM8" s="47">
        <v>8.9789851039104945E-2</v>
      </c>
      <c r="AN8" s="47">
        <v>3.9180854165122486E-2</v>
      </c>
      <c r="AO8" s="47">
        <v>1.8215935495983847E-2</v>
      </c>
      <c r="AP8" s="47">
        <v>6.1247503888619661E-3</v>
      </c>
      <c r="AQ8" s="47">
        <v>2.2753939019417302E-3</v>
      </c>
      <c r="AR8" s="47">
        <v>9.9598202654440282E-4</v>
      </c>
      <c r="AS8" s="46">
        <v>6.4187807594583313E-2</v>
      </c>
      <c r="AT8" s="47">
        <v>3.5831529626713987E-2</v>
      </c>
      <c r="AU8" s="47">
        <v>9.4905546021791486E-3</v>
      </c>
      <c r="AV8" s="47">
        <v>4.0440962259424111E-3</v>
      </c>
      <c r="AW8" s="63">
        <v>1.0885942473826435E-3</v>
      </c>
    </row>
    <row r="9" spans="1:49" x14ac:dyDescent="0.25">
      <c r="A9" s="54" t="s">
        <v>13</v>
      </c>
      <c r="B9" s="52">
        <v>1</v>
      </c>
      <c r="C9" s="55">
        <v>0.1</v>
      </c>
      <c r="D9" s="56">
        <v>0.100009</v>
      </c>
      <c r="E9" s="56">
        <v>0.49998999999999999</v>
      </c>
      <c r="F9" s="56">
        <v>0.30000100000000002</v>
      </c>
      <c r="G9" s="74">
        <v>257.03904199999999</v>
      </c>
      <c r="H9" s="57">
        <v>1.595043</v>
      </c>
      <c r="I9" s="61">
        <v>41754.889743</v>
      </c>
      <c r="J9" s="77">
        <v>305.60670599999997</v>
      </c>
      <c r="K9" s="60">
        <v>-26.226929999999999</v>
      </c>
      <c r="L9" s="109" t="s">
        <v>43</v>
      </c>
      <c r="M9" s="34">
        <v>0.11392430000000001</v>
      </c>
      <c r="N9" s="35">
        <v>0.10947205</v>
      </c>
      <c r="O9" s="59">
        <v>0.48527765</v>
      </c>
      <c r="P9" s="59">
        <v>0.29132609999999998</v>
      </c>
      <c r="Q9" s="79">
        <v>257</v>
      </c>
      <c r="R9" s="57">
        <v>1.59</v>
      </c>
      <c r="S9" s="61">
        <v>41760</v>
      </c>
      <c r="T9" s="74">
        <v>145.29807403546576</v>
      </c>
      <c r="U9" s="59">
        <v>0.14637103714222519</v>
      </c>
      <c r="V9" s="58">
        <v>2.5419156297081337E-2</v>
      </c>
      <c r="W9" s="59">
        <v>0.22157366443338455</v>
      </c>
      <c r="X9" s="59">
        <v>0.27627953092385643</v>
      </c>
      <c r="Y9" s="59">
        <v>0.33516318724848621</v>
      </c>
      <c r="Z9" s="59">
        <v>2.4136083420645233E-2</v>
      </c>
      <c r="AA9" s="59">
        <v>0.1174283776765452</v>
      </c>
      <c r="AB9" s="34">
        <f t="shared" si="0"/>
        <v>0.24699282073046588</v>
      </c>
      <c r="AC9" s="34">
        <v>9.6987044190752214E-2</v>
      </c>
      <c r="AD9" s="35">
        <v>5.3356382672640978E-2</v>
      </c>
      <c r="AE9" s="35">
        <v>4.36403437202212E-2</v>
      </c>
      <c r="AF9" s="35">
        <v>2.8045380894417129E-2</v>
      </c>
      <c r="AG9" s="35">
        <v>1.9667015280500289E-2</v>
      </c>
      <c r="AH9" s="35">
        <v>1.381270981167936E-2</v>
      </c>
      <c r="AI9" s="35">
        <v>1.0409088367320029E-2</v>
      </c>
      <c r="AJ9" s="35">
        <v>6.8098536409782438E-3</v>
      </c>
      <c r="AK9" s="35">
        <v>3.5517123453470316E-3</v>
      </c>
      <c r="AL9" s="34">
        <v>4.0160775901109898E-2</v>
      </c>
      <c r="AM9" s="35">
        <v>0.1481469061243805</v>
      </c>
      <c r="AN9" s="35">
        <v>7.5604322680470959E-2</v>
      </c>
      <c r="AO9" s="35">
        <v>4.1849295281292047E-2</v>
      </c>
      <c r="AP9" s="35">
        <v>1.6949408266212322E-2</v>
      </c>
      <c r="AQ9" s="35">
        <v>8.040150576806529E-3</v>
      </c>
      <c r="AR9" s="35">
        <v>4.4123284182139948E-3</v>
      </c>
      <c r="AS9" s="34">
        <v>5.4974571722066712E-2</v>
      </c>
      <c r="AT9" s="35">
        <v>4.0042796752437028E-2</v>
      </c>
      <c r="AU9" s="35">
        <v>1.579019861742165E-2</v>
      </c>
      <c r="AV9" s="35">
        <v>6.6208105846198122E-3</v>
      </c>
      <c r="AW9" s="62">
        <v>0</v>
      </c>
    </row>
    <row r="10" spans="1:49" x14ac:dyDescent="0.25">
      <c r="B10" s="10">
        <v>2</v>
      </c>
      <c r="C10" s="28">
        <v>0.1</v>
      </c>
      <c r="D10" s="29">
        <v>8.9288999999999993E-2</v>
      </c>
      <c r="E10" s="29">
        <v>0.41071099999999999</v>
      </c>
      <c r="F10" s="29">
        <v>0.4</v>
      </c>
      <c r="G10" s="30">
        <v>251.99152699999999</v>
      </c>
      <c r="H10" s="31">
        <v>1.5687720000000001</v>
      </c>
      <c r="I10" s="32">
        <v>74890.489167000007</v>
      </c>
      <c r="J10" s="75">
        <v>562.04789100000005</v>
      </c>
      <c r="K10" s="36">
        <v>-25.657121</v>
      </c>
      <c r="L10" s="110"/>
      <c r="M10" s="34">
        <v>7.2651678902588265E-2</v>
      </c>
      <c r="N10" s="35">
        <v>9.0878198509480923E-2</v>
      </c>
      <c r="O10" s="35">
        <v>0.42910092747990525</v>
      </c>
      <c r="P10" s="35">
        <v>0.40736919510802549</v>
      </c>
      <c r="Q10" s="30">
        <v>252</v>
      </c>
      <c r="R10" s="31">
        <v>1.57</v>
      </c>
      <c r="S10" s="32">
        <v>75000</v>
      </c>
      <c r="T10" s="30">
        <v>178.64635452357689</v>
      </c>
      <c r="U10" s="35">
        <v>0.1068645154024106</v>
      </c>
      <c r="V10" s="34">
        <v>3.2155906704368117E-2</v>
      </c>
      <c r="W10" s="35">
        <v>0.28851429637391751</v>
      </c>
      <c r="X10" s="35">
        <v>0.19313081880689303</v>
      </c>
      <c r="Y10" s="35">
        <v>0.30660409561099916</v>
      </c>
      <c r="Z10" s="35">
        <v>4.4891960302139884E-2</v>
      </c>
      <c r="AA10" s="35">
        <v>0.13470292220167854</v>
      </c>
      <c r="AB10" s="34">
        <f t="shared" si="0"/>
        <v>0.32067020307828564</v>
      </c>
      <c r="AC10" s="34">
        <v>8.3800682192586212E-2</v>
      </c>
      <c r="AD10" s="35">
        <v>3.9923630533807763E-2</v>
      </c>
      <c r="AE10" s="35">
        <v>2.8235256067213096E-2</v>
      </c>
      <c r="AF10" s="35">
        <v>1.7363899370769702E-2</v>
      </c>
      <c r="AG10" s="35">
        <v>1.1189530141414812E-2</v>
      </c>
      <c r="AH10" s="35">
        <v>7.0414507911532344E-3</v>
      </c>
      <c r="AI10" s="35">
        <v>5.5763697099482463E-3</v>
      </c>
      <c r="AJ10" s="35">
        <v>0</v>
      </c>
      <c r="AK10" s="35">
        <v>0</v>
      </c>
      <c r="AL10" s="34">
        <v>7.0052516881345797E-2</v>
      </c>
      <c r="AM10" s="35">
        <v>0.12325077847013949</v>
      </c>
      <c r="AN10" s="35">
        <v>6.120253214784116E-2</v>
      </c>
      <c r="AO10" s="35">
        <v>3.3031494003702366E-2</v>
      </c>
      <c r="AP10" s="35">
        <v>1.2696501459578655E-2</v>
      </c>
      <c r="AQ10" s="35">
        <v>6.370272648391689E-3</v>
      </c>
      <c r="AR10" s="35">
        <v>0</v>
      </c>
      <c r="AS10" s="34">
        <v>7.4384642987516403E-2</v>
      </c>
      <c r="AT10" s="35">
        <v>4.3807721678130893E-2</v>
      </c>
      <c r="AU10" s="35">
        <v>1.0128613809766386E-2</v>
      </c>
      <c r="AV10" s="35">
        <v>6.3819437262648566E-3</v>
      </c>
      <c r="AW10" s="62">
        <v>0</v>
      </c>
    </row>
    <row r="11" spans="1:49" x14ac:dyDescent="0.25">
      <c r="B11" s="10">
        <v>3</v>
      </c>
      <c r="C11" s="28">
        <v>0.1</v>
      </c>
      <c r="D11" s="29">
        <v>0.19128999999999999</v>
      </c>
      <c r="E11" s="29">
        <v>0.17042399999999999</v>
      </c>
      <c r="F11" s="29">
        <v>0.53828600000000004</v>
      </c>
      <c r="G11" s="30">
        <v>268.38315399999999</v>
      </c>
      <c r="H11" s="31">
        <v>1.9342729999999999</v>
      </c>
      <c r="I11" s="32">
        <v>79999.977977000002</v>
      </c>
      <c r="J11" s="75">
        <v>494.03518700000001</v>
      </c>
      <c r="K11" s="36">
        <v>-32.487864999999999</v>
      </c>
      <c r="L11" s="110"/>
      <c r="M11" s="34">
        <v>7.5014367248270999E-2</v>
      </c>
      <c r="N11" s="35">
        <v>0.19200632232717083</v>
      </c>
      <c r="O11" s="35">
        <v>0.1813580706682501</v>
      </c>
      <c r="P11" s="35">
        <v>0.55162123975630806</v>
      </c>
      <c r="Q11" s="65">
        <v>268.39999999999998</v>
      </c>
      <c r="R11" s="31">
        <v>1.93</v>
      </c>
      <c r="S11" s="32">
        <v>80000</v>
      </c>
      <c r="T11" s="30">
        <v>379.46838260316372</v>
      </c>
      <c r="U11" s="35">
        <v>0.1980221401095503</v>
      </c>
      <c r="V11" s="34">
        <v>0.10083710416449192</v>
      </c>
      <c r="W11" s="35">
        <v>0.26697106791691877</v>
      </c>
      <c r="X11" s="35">
        <v>0.28964285185872313</v>
      </c>
      <c r="Y11" s="35">
        <v>0.16161261887544695</v>
      </c>
      <c r="Z11" s="35">
        <v>5.9894815484141745E-2</v>
      </c>
      <c r="AA11" s="35">
        <v>0.12104154170027787</v>
      </c>
      <c r="AB11" s="34">
        <f t="shared" si="0"/>
        <v>0.3678081720814107</v>
      </c>
      <c r="AC11" s="34">
        <v>0.11900303577229278</v>
      </c>
      <c r="AD11" s="35">
        <v>5.816703347034715E-2</v>
      </c>
      <c r="AE11" s="35">
        <v>4.1986489310557693E-2</v>
      </c>
      <c r="AF11" s="35">
        <v>2.6111742562416704E-2</v>
      </c>
      <c r="AG11" s="35">
        <v>1.6219086182594575E-2</v>
      </c>
      <c r="AH11" s="35">
        <v>1.0895850337434392E-2</v>
      </c>
      <c r="AI11" s="35">
        <v>7.9515946271835249E-3</v>
      </c>
      <c r="AJ11" s="35">
        <v>6.1274543231947167E-3</v>
      </c>
      <c r="AK11" s="35">
        <v>3.1805652727015525E-3</v>
      </c>
      <c r="AL11" s="34">
        <v>1.6049131666708776E-2</v>
      </c>
      <c r="AM11" s="35">
        <v>8.1179332855217001E-2</v>
      </c>
      <c r="AN11" s="35">
        <v>3.4940085334694837E-2</v>
      </c>
      <c r="AO11" s="35">
        <v>1.9640060839562969E-2</v>
      </c>
      <c r="AP11" s="35">
        <v>7.1234346581846636E-3</v>
      </c>
      <c r="AQ11" s="35">
        <v>2.6805735210786961E-3</v>
      </c>
      <c r="AR11" s="35">
        <v>0</v>
      </c>
      <c r="AS11" s="34">
        <v>7.5968174488392409E-2</v>
      </c>
      <c r="AT11" s="35">
        <v>3.2081871431121595E-2</v>
      </c>
      <c r="AU11" s="35">
        <v>8.7405948020409727E-3</v>
      </c>
      <c r="AV11" s="35">
        <v>4.2509009787228781E-3</v>
      </c>
      <c r="AW11" s="62">
        <v>1.72042647568938E-3</v>
      </c>
    </row>
    <row r="12" spans="1:49" x14ac:dyDescent="0.25">
      <c r="B12" s="10">
        <v>4</v>
      </c>
      <c r="C12" s="28">
        <v>0.1</v>
      </c>
      <c r="D12" s="29">
        <v>0.119509</v>
      </c>
      <c r="E12" s="29">
        <v>0.05</v>
      </c>
      <c r="F12" s="29">
        <v>0.730491</v>
      </c>
      <c r="G12" s="30">
        <v>257.862998</v>
      </c>
      <c r="H12" s="31">
        <v>2.2974830000000002</v>
      </c>
      <c r="I12" s="32">
        <v>79999.985700000005</v>
      </c>
      <c r="J12" s="75">
        <v>525.66844900000001</v>
      </c>
      <c r="K12" s="36">
        <v>-32.685552999999999</v>
      </c>
      <c r="L12" s="110"/>
      <c r="M12" s="34">
        <v>8.9706915000000012E-2</v>
      </c>
      <c r="N12" s="35">
        <v>0.11350495000000001</v>
      </c>
      <c r="O12" s="35">
        <v>8.6468279999999995E-2</v>
      </c>
      <c r="P12" s="35">
        <v>0.71031984999999986</v>
      </c>
      <c r="Q12" s="30">
        <v>257.8</v>
      </c>
      <c r="R12" s="31">
        <v>2.2999999999999998</v>
      </c>
      <c r="S12" s="32">
        <v>80000</v>
      </c>
      <c r="T12" s="30">
        <v>540.07091415007835</v>
      </c>
      <c r="U12" s="35">
        <v>0.20850064517628747</v>
      </c>
      <c r="V12" s="34">
        <v>8.4236285520359611E-2</v>
      </c>
      <c r="W12" s="35">
        <v>0.26420372712063078</v>
      </c>
      <c r="X12" s="35">
        <v>0.25118356403525333</v>
      </c>
      <c r="Y12" s="35">
        <v>0.13359834153402286</v>
      </c>
      <c r="Z12" s="35">
        <v>0.11625573473825124</v>
      </c>
      <c r="AA12" s="35">
        <v>0.15052234705148235</v>
      </c>
      <c r="AB12" s="34">
        <f>(V12+W12)</f>
        <v>0.34844001264099039</v>
      </c>
      <c r="AC12" s="34">
        <v>0.10599432094833046</v>
      </c>
      <c r="AD12" s="35">
        <v>5.2670133638383104E-2</v>
      </c>
      <c r="AE12" s="35">
        <v>3.502692835627514E-2</v>
      </c>
      <c r="AF12" s="35">
        <v>2.0907522386321587E-2</v>
      </c>
      <c r="AG12" s="35">
        <v>1.3462415278004538E-2</v>
      </c>
      <c r="AH12" s="35">
        <v>9.6579511645348438E-3</v>
      </c>
      <c r="AI12" s="35">
        <v>6.2044338724078774E-3</v>
      </c>
      <c r="AJ12" s="35">
        <v>4.5026002429578871E-3</v>
      </c>
      <c r="AK12" s="35">
        <v>2.7572581480378266E-3</v>
      </c>
      <c r="AL12" s="34">
        <v>1.366301256258219E-2</v>
      </c>
      <c r="AM12" s="35">
        <v>6.5233366969067119E-2</v>
      </c>
      <c r="AN12" s="35">
        <v>2.8861649578538859E-2</v>
      </c>
      <c r="AO12" s="35">
        <v>1.7249367967228944E-2</v>
      </c>
      <c r="AP12" s="35">
        <v>6.012923327639085E-3</v>
      </c>
      <c r="AQ12" s="35">
        <v>2.5780211289666679E-3</v>
      </c>
      <c r="AR12" s="35">
        <v>0</v>
      </c>
      <c r="AS12" s="34">
        <v>9.5039408397805489E-2</v>
      </c>
      <c r="AT12" s="35">
        <v>3.5475684053694258E-2</v>
      </c>
      <c r="AU12" s="35">
        <v>1.2752968290169508E-2</v>
      </c>
      <c r="AV12" s="35">
        <v>5.5338598341237279E-3</v>
      </c>
      <c r="AW12" s="62">
        <v>0</v>
      </c>
    </row>
    <row r="13" spans="1:49" x14ac:dyDescent="0.25">
      <c r="B13" s="10">
        <v>5</v>
      </c>
      <c r="C13" s="28">
        <v>0.1</v>
      </c>
      <c r="D13" s="29">
        <v>9.7910999999999998E-2</v>
      </c>
      <c r="E13" s="29">
        <v>0.05</v>
      </c>
      <c r="F13" s="29">
        <v>0.75208900000000001</v>
      </c>
      <c r="G13" s="30">
        <v>276.97081500000002</v>
      </c>
      <c r="H13" s="31">
        <v>1.6917260000000001</v>
      </c>
      <c r="I13" s="32">
        <v>79999.998051000002</v>
      </c>
      <c r="J13" s="75">
        <v>941.27605400000004</v>
      </c>
      <c r="K13" s="36">
        <v>-39.845857000000002</v>
      </c>
      <c r="L13" s="110"/>
      <c r="M13" s="34">
        <v>8.288105521287005E-2</v>
      </c>
      <c r="N13" s="35">
        <v>0.11097334254094206</v>
      </c>
      <c r="O13" s="35">
        <v>5.4114644885697581E-2</v>
      </c>
      <c r="P13" s="35">
        <v>0.75203095736049019</v>
      </c>
      <c r="Q13" s="30">
        <v>277</v>
      </c>
      <c r="R13" s="31">
        <v>1.69</v>
      </c>
      <c r="S13" s="32">
        <v>80000</v>
      </c>
      <c r="T13" s="30">
        <v>900.58629682797084</v>
      </c>
      <c r="U13" s="35">
        <v>0.35422952671747332</v>
      </c>
      <c r="V13" s="34">
        <v>0.17712529229920174</v>
      </c>
      <c r="W13" s="35">
        <v>0.21176802722803575</v>
      </c>
      <c r="X13" s="35">
        <v>0.27503799381282235</v>
      </c>
      <c r="Y13" s="35">
        <v>0.16198869925480708</v>
      </c>
      <c r="Z13" s="35">
        <v>5.8132977189840389E-2</v>
      </c>
      <c r="AA13" s="35">
        <v>0.11594701021529309</v>
      </c>
      <c r="AB13" s="34">
        <f t="shared" ref="AB13:AB20" si="1">(V13+W13)</f>
        <v>0.38889331952723749</v>
      </c>
      <c r="AC13" s="34">
        <v>9.9292967231114193E-2</v>
      </c>
      <c r="AD13" s="35">
        <v>5.4701376231756721E-2</v>
      </c>
      <c r="AE13" s="35">
        <v>4.1106441550409947E-2</v>
      </c>
      <c r="AF13" s="35">
        <v>2.8167970058605996E-2</v>
      </c>
      <c r="AG13" s="35">
        <v>1.8137754198789876E-2</v>
      </c>
      <c r="AH13" s="35">
        <v>1.3995418169116713E-2</v>
      </c>
      <c r="AI13" s="35">
        <v>9.5051308251831047E-3</v>
      </c>
      <c r="AJ13" s="35">
        <v>6.4145288326047196E-3</v>
      </c>
      <c r="AK13" s="35">
        <v>3.716406715241032E-3</v>
      </c>
      <c r="AL13" s="34">
        <v>1.4864123602311785E-2</v>
      </c>
      <c r="AM13" s="35">
        <v>7.3606916641415637E-2</v>
      </c>
      <c r="AN13" s="35">
        <v>3.5593589118508372E-2</v>
      </c>
      <c r="AO13" s="35">
        <v>2.3035081606159576E-2</v>
      </c>
      <c r="AP13" s="35">
        <v>8.7899467114696574E-3</v>
      </c>
      <c r="AQ13" s="35">
        <v>4.0365663451422144E-3</v>
      </c>
      <c r="AR13" s="35">
        <v>2.0624752297998348E-3</v>
      </c>
      <c r="AS13" s="34">
        <v>6.8787167986023717E-2</v>
      </c>
      <c r="AT13" s="35">
        <v>2.9266222094587048E-2</v>
      </c>
      <c r="AU13" s="35">
        <v>1.1075204732757334E-2</v>
      </c>
      <c r="AV13" s="35">
        <v>5.007987704898526E-3</v>
      </c>
      <c r="AW13" s="62">
        <v>1.8104276970264844E-3</v>
      </c>
    </row>
    <row r="14" spans="1:49" x14ac:dyDescent="0.25">
      <c r="B14" s="15">
        <v>6</v>
      </c>
      <c r="C14" s="40">
        <v>0.1</v>
      </c>
      <c r="D14" s="41">
        <v>5.8730999999999998E-2</v>
      </c>
      <c r="E14" s="41">
        <v>0.05</v>
      </c>
      <c r="F14" s="41">
        <v>0.791269</v>
      </c>
      <c r="G14" s="42">
        <v>283.73624000000001</v>
      </c>
      <c r="H14" s="43">
        <v>1.658738</v>
      </c>
      <c r="I14" s="44">
        <v>79999.997401000001</v>
      </c>
      <c r="J14" s="76">
        <v>1068.456612</v>
      </c>
      <c r="K14" s="48">
        <v>-44.035508999999998</v>
      </c>
      <c r="L14" s="111"/>
      <c r="M14" s="46">
        <v>7.5389440000000002E-2</v>
      </c>
      <c r="N14" s="47">
        <v>5.7397515000000003E-2</v>
      </c>
      <c r="O14" s="47">
        <v>6.0553210000000003E-2</v>
      </c>
      <c r="P14" s="47">
        <v>0.80665979999999993</v>
      </c>
      <c r="Q14" s="73">
        <v>283.7</v>
      </c>
      <c r="R14" s="43">
        <v>1.66</v>
      </c>
      <c r="S14" s="44">
        <v>80000</v>
      </c>
      <c r="T14" s="42">
        <v>1040.9323308753146</v>
      </c>
      <c r="U14" s="47">
        <v>0.43596669858933518</v>
      </c>
      <c r="V14" s="46">
        <v>0.20973064186966892</v>
      </c>
      <c r="W14" s="47">
        <v>0.19474509775055102</v>
      </c>
      <c r="X14" s="47">
        <v>0.26523665617658765</v>
      </c>
      <c r="Y14" s="47">
        <v>0.19369730482525863</v>
      </c>
      <c r="Z14" s="47">
        <v>3.7878024148366086E-2</v>
      </c>
      <c r="AA14" s="47">
        <v>9.8712275229567659E-2</v>
      </c>
      <c r="AB14" s="46">
        <f t="shared" si="1"/>
        <v>0.40447573962021993</v>
      </c>
      <c r="AC14" s="46">
        <v>8.9571877361957888E-2</v>
      </c>
      <c r="AD14" s="47">
        <v>4.7948218911450374E-2</v>
      </c>
      <c r="AE14" s="47">
        <v>4.3203894620181045E-2</v>
      </c>
      <c r="AF14" s="47">
        <v>3.0473485568527806E-2</v>
      </c>
      <c r="AG14" s="47">
        <v>2.0308336006766667E-2</v>
      </c>
      <c r="AH14" s="47">
        <v>1.4668750393098201E-2</v>
      </c>
      <c r="AI14" s="47">
        <v>1.0606072753427799E-2</v>
      </c>
      <c r="AJ14" s="47">
        <v>6.6826232917107176E-3</v>
      </c>
      <c r="AK14" s="47">
        <v>1.7733972694671408E-3</v>
      </c>
      <c r="AL14" s="46">
        <v>1.6840525600977284E-2</v>
      </c>
      <c r="AM14" s="47">
        <v>8.3798868643804897E-2</v>
      </c>
      <c r="AN14" s="47">
        <v>4.3562317321650723E-2</v>
      </c>
      <c r="AO14" s="47">
        <v>2.963390058488545E-2</v>
      </c>
      <c r="AP14" s="47">
        <v>1.1590062908404544E-2</v>
      </c>
      <c r="AQ14" s="47">
        <v>5.301599605047112E-3</v>
      </c>
      <c r="AR14" s="47">
        <v>2.9700301604886001E-3</v>
      </c>
      <c r="AS14" s="46">
        <v>5.7451683304015622E-2</v>
      </c>
      <c r="AT14" s="47">
        <v>2.542268746101798E-2</v>
      </c>
      <c r="AU14" s="47">
        <v>9.588922451969616E-3</v>
      </c>
      <c r="AV14" s="47">
        <v>4.7432778229331363E-3</v>
      </c>
      <c r="AW14" s="63">
        <v>1.5057041896313131E-3</v>
      </c>
    </row>
    <row r="15" spans="1:49" x14ac:dyDescent="0.25">
      <c r="A15" s="54" t="s">
        <v>14</v>
      </c>
      <c r="B15" s="52">
        <v>1</v>
      </c>
      <c r="C15" s="28">
        <v>0.1</v>
      </c>
      <c r="D15" s="29">
        <v>0.13921600000000001</v>
      </c>
      <c r="E15" s="29">
        <v>0.27189799999999997</v>
      </c>
      <c r="F15" s="29">
        <v>0.48888599999999999</v>
      </c>
      <c r="G15" s="30">
        <v>268.77636799999999</v>
      </c>
      <c r="H15" s="31">
        <v>1.463525</v>
      </c>
      <c r="I15" s="32">
        <v>56807.603228</v>
      </c>
      <c r="J15" s="75">
        <v>443.96342199999998</v>
      </c>
      <c r="K15" s="36">
        <v>-31.256868999999998</v>
      </c>
      <c r="L15" s="109" t="s">
        <v>43</v>
      </c>
      <c r="M15" s="34">
        <v>0.10103325</v>
      </c>
      <c r="N15" s="35">
        <v>0.11953509999999999</v>
      </c>
      <c r="O15" s="35">
        <v>0.27670119999999998</v>
      </c>
      <c r="P15" s="35">
        <v>0.50273045000000005</v>
      </c>
      <c r="Q15" s="65">
        <v>268.8</v>
      </c>
      <c r="R15" s="10">
        <v>1.47</v>
      </c>
      <c r="S15" s="32">
        <v>56823.529411764706</v>
      </c>
      <c r="T15" s="30">
        <v>381.73073627065736</v>
      </c>
      <c r="U15" s="35">
        <v>0.20796949771293685</v>
      </c>
      <c r="V15" s="34">
        <v>0.11363022306826183</v>
      </c>
      <c r="W15" s="35">
        <v>0.19320558029265805</v>
      </c>
      <c r="X15" s="35">
        <v>0.27637134275844261</v>
      </c>
      <c r="Y15" s="35">
        <v>0.23958360718398633</v>
      </c>
      <c r="Z15" s="35">
        <v>4.6279211221982343E-2</v>
      </c>
      <c r="AA15" s="35">
        <v>0.13093003547466819</v>
      </c>
      <c r="AB15" s="34">
        <f t="shared" si="1"/>
        <v>0.30683580336091987</v>
      </c>
      <c r="AC15" s="34">
        <v>0.10800832639859773</v>
      </c>
      <c r="AD15" s="35">
        <v>5.4197255579312459E-2</v>
      </c>
      <c r="AE15" s="35">
        <v>3.7475212049544612E-2</v>
      </c>
      <c r="AF15" s="35">
        <v>2.4244004268703937E-2</v>
      </c>
      <c r="AG15" s="35">
        <v>1.7173169370576537E-2</v>
      </c>
      <c r="AH15" s="35">
        <v>1.3701368935871327E-2</v>
      </c>
      <c r="AI15" s="35">
        <v>9.5850385260919536E-3</v>
      </c>
      <c r="AJ15" s="35">
        <v>7.1734320130333708E-3</v>
      </c>
      <c r="AK15" s="35">
        <v>4.8135356167106737E-3</v>
      </c>
      <c r="AL15" s="34">
        <v>2.2726847528032963E-2</v>
      </c>
      <c r="AM15" s="35">
        <v>0.10842924685883928</v>
      </c>
      <c r="AN15" s="35">
        <v>5.5392246634956975E-2</v>
      </c>
      <c r="AO15" s="35">
        <v>3.1580851482582079E-2</v>
      </c>
      <c r="AP15" s="35">
        <v>1.2801689180826241E-2</v>
      </c>
      <c r="AQ15" s="35">
        <v>5.8653013559933492E-3</v>
      </c>
      <c r="AR15" s="35">
        <v>2.7874241427554344E-3</v>
      </c>
      <c r="AS15" s="34">
        <v>6.4028490775387942E-2</v>
      </c>
      <c r="AT15" s="35">
        <v>4.0367896827401994E-2</v>
      </c>
      <c r="AU15" s="35">
        <v>1.6118774103726502E-2</v>
      </c>
      <c r="AV15" s="35">
        <v>7.5567045259740907E-3</v>
      </c>
      <c r="AW15" s="62">
        <v>2.858169242177671E-3</v>
      </c>
    </row>
    <row r="16" spans="1:49" x14ac:dyDescent="0.25">
      <c r="B16" s="10">
        <v>2</v>
      </c>
      <c r="C16" s="28">
        <v>0.1</v>
      </c>
      <c r="D16" s="29">
        <v>0.119509</v>
      </c>
      <c r="E16" s="29">
        <v>0.05</v>
      </c>
      <c r="F16" s="29">
        <v>0.730491</v>
      </c>
      <c r="G16" s="30">
        <v>253.69271900000001</v>
      </c>
      <c r="H16" s="31">
        <v>1.9151830000000001</v>
      </c>
      <c r="I16" s="32">
        <v>79999.928467999998</v>
      </c>
      <c r="J16" s="75">
        <v>563.54084999999998</v>
      </c>
      <c r="K16" s="36">
        <v>-33.300241</v>
      </c>
      <c r="L16" s="110"/>
      <c r="M16" s="34">
        <v>7.5389440000000002E-2</v>
      </c>
      <c r="N16" s="35">
        <v>5.7397515000000003E-2</v>
      </c>
      <c r="O16" s="35">
        <v>6.0553210000000003E-2</v>
      </c>
      <c r="P16" s="35">
        <v>0.80665979999999993</v>
      </c>
      <c r="Q16" s="65">
        <v>255.5</v>
      </c>
      <c r="R16" s="10">
        <v>1.89</v>
      </c>
      <c r="S16" s="10">
        <v>80000</v>
      </c>
      <c r="T16" s="30">
        <v>588.95377241216056</v>
      </c>
      <c r="U16" s="35">
        <v>0.20017739493128581</v>
      </c>
      <c r="V16" s="34">
        <v>7.9397366369999708E-2</v>
      </c>
      <c r="W16" s="35">
        <v>0.23720178864603836</v>
      </c>
      <c r="X16" s="35">
        <v>0.25554762642506101</v>
      </c>
      <c r="Y16" s="35">
        <v>0.1929321400630995</v>
      </c>
      <c r="Z16" s="35">
        <v>8.757075089230805E-2</v>
      </c>
      <c r="AA16" s="35">
        <v>0.14735032760349434</v>
      </c>
      <c r="AB16" s="34">
        <f t="shared" si="1"/>
        <v>0.31659915501603808</v>
      </c>
      <c r="AC16" s="34">
        <v>9.2684526171082776E-2</v>
      </c>
      <c r="AD16" s="35">
        <v>4.5474014018069081E-2</v>
      </c>
      <c r="AE16" s="35">
        <v>3.9538767373543199E-2</v>
      </c>
      <c r="AF16" s="35">
        <v>2.6249531054803005E-2</v>
      </c>
      <c r="AG16" s="35">
        <v>1.8766404319933767E-2</v>
      </c>
      <c r="AH16" s="35">
        <v>1.372872737983561E-2</v>
      </c>
      <c r="AI16" s="35">
        <v>1.0129611196835257E-2</v>
      </c>
      <c r="AJ16" s="35">
        <v>6.9574666902990148E-3</v>
      </c>
      <c r="AK16" s="35">
        <v>2.0185782206592925E-3</v>
      </c>
      <c r="AL16" s="34">
        <v>2.3641376485469528E-2</v>
      </c>
      <c r="AM16" s="35">
        <v>7.7939203491528858E-2</v>
      </c>
      <c r="AN16" s="35">
        <v>4.1142907780356015E-2</v>
      </c>
      <c r="AO16" s="35">
        <v>2.9172356690178418E-2</v>
      </c>
      <c r="AP16" s="35">
        <v>1.1815821183323486E-2</v>
      </c>
      <c r="AQ16" s="35">
        <v>5.9339213452024985E-3</v>
      </c>
      <c r="AR16" s="35">
        <v>3.2865530870406744E-3</v>
      </c>
      <c r="AS16" s="34">
        <v>8.870024100355639E-2</v>
      </c>
      <c r="AT16" s="35">
        <v>3.6749868382036928E-2</v>
      </c>
      <c r="AU16" s="35">
        <v>1.2672471249377516E-2</v>
      </c>
      <c r="AV16" s="35">
        <v>7.03272942695388E-3</v>
      </c>
      <c r="AW16" s="62">
        <v>2.1950175415696412E-3</v>
      </c>
    </row>
    <row r="17" spans="1:49" x14ac:dyDescent="0.25">
      <c r="B17" s="10">
        <v>3</v>
      </c>
      <c r="C17" s="28">
        <v>0.1</v>
      </c>
      <c r="D17" s="29">
        <v>0.12586600000000001</v>
      </c>
      <c r="E17" s="29">
        <v>0.05</v>
      </c>
      <c r="F17" s="29">
        <v>0.72413400000000006</v>
      </c>
      <c r="G17" s="30">
        <v>251.71459100000001</v>
      </c>
      <c r="H17" s="31">
        <v>2.141839</v>
      </c>
      <c r="I17" s="32">
        <v>79999.950618999996</v>
      </c>
      <c r="J17" s="75">
        <v>522.12691600000005</v>
      </c>
      <c r="K17" s="36">
        <v>-32.956757000000003</v>
      </c>
      <c r="L17" s="110"/>
      <c r="M17" s="34">
        <v>7.5389440000000002E-2</v>
      </c>
      <c r="N17" s="35">
        <v>5.7397515000000003E-2</v>
      </c>
      <c r="O17" s="35">
        <v>6.0553210000000003E-2</v>
      </c>
      <c r="P17" s="35">
        <v>0.80665979999999993</v>
      </c>
      <c r="Q17" s="30">
        <v>255.5</v>
      </c>
      <c r="R17" s="31">
        <v>2.2999999999999998</v>
      </c>
      <c r="S17" s="32">
        <v>80000</v>
      </c>
      <c r="T17" s="30">
        <v>613.1850658493571</v>
      </c>
      <c r="U17" s="35">
        <v>0.23155964798410583</v>
      </c>
      <c r="V17" s="34">
        <v>7.7899582637981107E-2</v>
      </c>
      <c r="W17" s="35">
        <v>0.24510374422425638</v>
      </c>
      <c r="X17" s="35">
        <v>0.26577298520318571</v>
      </c>
      <c r="Y17" s="35">
        <v>0.1705585085385837</v>
      </c>
      <c r="Z17" s="35">
        <v>9.2963208568102598E-2</v>
      </c>
      <c r="AA17" s="35">
        <v>0.14770197082789027</v>
      </c>
      <c r="AB17" s="34">
        <f t="shared" si="1"/>
        <v>0.32300332686223748</v>
      </c>
      <c r="AC17" s="34">
        <v>9.4507639486998057E-2</v>
      </c>
      <c r="AD17" s="35">
        <v>4.8765505598007297E-2</v>
      </c>
      <c r="AE17" s="35">
        <v>4.2259734851745119E-2</v>
      </c>
      <c r="AF17" s="35">
        <v>2.7637276300404121E-2</v>
      </c>
      <c r="AG17" s="35">
        <v>1.9370843242092647E-2</v>
      </c>
      <c r="AH17" s="35">
        <v>1.3558700129249838E-2</v>
      </c>
      <c r="AI17" s="35">
        <v>1.0221007152315159E-2</v>
      </c>
      <c r="AJ17" s="35">
        <v>6.8769830635758179E-3</v>
      </c>
      <c r="AK17" s="35">
        <v>2.5752953787976968E-3</v>
      </c>
      <c r="AL17" s="34">
        <v>1.5913692530668256E-2</v>
      </c>
      <c r="AM17" s="35">
        <v>7.4375563949461765E-2</v>
      </c>
      <c r="AN17" s="35">
        <v>3.7639617236087865E-2</v>
      </c>
      <c r="AO17" s="35">
        <v>2.5843740424373176E-2</v>
      </c>
      <c r="AP17" s="35">
        <v>9.7925761725291827E-3</v>
      </c>
      <c r="AQ17" s="35">
        <v>4.4133128237564346E-3</v>
      </c>
      <c r="AR17" s="35">
        <v>2.5800054017070272E-3</v>
      </c>
      <c r="AS17" s="34">
        <v>9.1091452537815851E-2</v>
      </c>
      <c r="AT17" s="35">
        <v>3.4651424472984263E-2</v>
      </c>
      <c r="AU17" s="35">
        <v>1.334482263749261E-2</v>
      </c>
      <c r="AV17" s="35">
        <v>6.5821156105372574E-3</v>
      </c>
      <c r="AW17" s="62">
        <v>2.0321555690602814E-3</v>
      </c>
    </row>
    <row r="18" spans="1:49" x14ac:dyDescent="0.25">
      <c r="B18" s="10">
        <v>4</v>
      </c>
      <c r="C18" s="28">
        <v>0.1</v>
      </c>
      <c r="D18" s="29">
        <v>9.7910999999999998E-2</v>
      </c>
      <c r="E18" s="29">
        <v>0.05</v>
      </c>
      <c r="F18" s="29">
        <v>0.75208900000000001</v>
      </c>
      <c r="G18" s="65">
        <v>255.49986999999999</v>
      </c>
      <c r="H18" s="31">
        <v>2.9646110000000001</v>
      </c>
      <c r="I18" s="32">
        <v>79999.909251999998</v>
      </c>
      <c r="J18" s="75">
        <v>480.21129999999999</v>
      </c>
      <c r="K18" s="36">
        <v>-33.317653</v>
      </c>
      <c r="L18" s="110"/>
      <c r="M18" s="34">
        <v>7.5389440000000002E-2</v>
      </c>
      <c r="N18" s="35">
        <v>5.7397515000000003E-2</v>
      </c>
      <c r="O18" s="35">
        <v>6.0553210000000003E-2</v>
      </c>
      <c r="P18" s="35">
        <v>0.80665979999999993</v>
      </c>
      <c r="Q18" s="30">
        <v>255.5</v>
      </c>
      <c r="R18" s="31">
        <v>2.96</v>
      </c>
      <c r="S18" s="32">
        <v>80000</v>
      </c>
      <c r="T18" s="30">
        <v>628.63390557015327</v>
      </c>
      <c r="U18" s="35">
        <v>0.257503594533806</v>
      </c>
      <c r="V18" s="34">
        <v>7.8022920360225997E-2</v>
      </c>
      <c r="W18" s="35">
        <v>0.26014942755354298</v>
      </c>
      <c r="X18" s="35">
        <v>0.26889383068634659</v>
      </c>
      <c r="Y18" s="35">
        <v>0.14329211899576735</v>
      </c>
      <c r="Z18" s="35">
        <v>0.10256101895655735</v>
      </c>
      <c r="AA18" s="35">
        <v>0.14708068344755909</v>
      </c>
      <c r="AB18" s="34">
        <f t="shared" si="1"/>
        <v>0.33817234791376899</v>
      </c>
      <c r="AC18" s="34">
        <v>9.9440037066714643E-2</v>
      </c>
      <c r="AD18" s="35">
        <v>5.2502746864513172E-2</v>
      </c>
      <c r="AE18" s="35">
        <v>4.2641076941970217E-2</v>
      </c>
      <c r="AF18" s="35">
        <v>2.7042744226446778E-2</v>
      </c>
      <c r="AG18" s="35">
        <v>1.8016030725855316E-2</v>
      </c>
      <c r="AH18" s="35">
        <v>1.2385274562087923E-2</v>
      </c>
      <c r="AI18" s="35">
        <v>8.6529319437981325E-3</v>
      </c>
      <c r="AJ18" s="35">
        <v>5.9215584218149315E-3</v>
      </c>
      <c r="AK18" s="35">
        <v>2.2914299331454955E-3</v>
      </c>
      <c r="AL18" s="34">
        <v>1.2167802579798302E-2</v>
      </c>
      <c r="AM18" s="35">
        <v>6.6150183834904397E-2</v>
      </c>
      <c r="AN18" s="35">
        <v>3.1082172587875059E-2</v>
      </c>
      <c r="AO18" s="35">
        <v>2.1180699606509045E-2</v>
      </c>
      <c r="AP18" s="35">
        <v>7.547903758494387E-3</v>
      </c>
      <c r="AQ18" s="35">
        <v>3.2484524518399316E-3</v>
      </c>
      <c r="AR18" s="35">
        <v>1.9149041763462063E-3</v>
      </c>
      <c r="AS18" s="34">
        <v>9.2974516498940826E-2</v>
      </c>
      <c r="AT18" s="35">
        <v>3.4513321717364799E-2</v>
      </c>
      <c r="AU18" s="35">
        <v>1.183664111330273E-2</v>
      </c>
      <c r="AV18" s="35">
        <v>5.8964902089056939E-3</v>
      </c>
      <c r="AW18" s="62">
        <v>1.8597139090450079E-3</v>
      </c>
    </row>
    <row r="19" spans="1:49" x14ac:dyDescent="0.25">
      <c r="B19" s="10">
        <v>5</v>
      </c>
      <c r="C19" s="28">
        <v>0.1</v>
      </c>
      <c r="D19" s="29">
        <v>5.8730999999999998E-2</v>
      </c>
      <c r="E19" s="29">
        <v>0.05</v>
      </c>
      <c r="F19" s="29">
        <v>0.791269</v>
      </c>
      <c r="G19" s="30">
        <v>264.965667</v>
      </c>
      <c r="H19" s="31">
        <v>1.9686980000000001</v>
      </c>
      <c r="I19" s="32">
        <v>79999.992576999997</v>
      </c>
      <c r="J19" s="75">
        <v>674.30324399999995</v>
      </c>
      <c r="K19" s="36">
        <v>-34.563937000000003</v>
      </c>
      <c r="L19" s="110"/>
      <c r="M19" s="34">
        <v>8.9706915000000012E-2</v>
      </c>
      <c r="N19" s="35">
        <v>0.11350495000000001</v>
      </c>
      <c r="O19" s="35">
        <v>8.6468279999999995E-2</v>
      </c>
      <c r="P19" s="35">
        <v>0.71031984999999986</v>
      </c>
      <c r="Q19" s="30">
        <v>265</v>
      </c>
      <c r="R19" s="10">
        <v>1.97</v>
      </c>
      <c r="S19" s="10">
        <v>80000</v>
      </c>
      <c r="T19" s="30">
        <v>663.92777581063706</v>
      </c>
      <c r="U19" s="35">
        <v>0.23860450196947797</v>
      </c>
      <c r="V19" s="34">
        <v>0.10723174974759263</v>
      </c>
      <c r="W19" s="35">
        <v>0.25204334992450966</v>
      </c>
      <c r="X19" s="35">
        <v>0.25416702940552632</v>
      </c>
      <c r="Y19" s="35">
        <v>0.14810454749731553</v>
      </c>
      <c r="Z19" s="35">
        <v>9.5737681323295867E-2</v>
      </c>
      <c r="AA19" s="35">
        <v>0.14271564210175972</v>
      </c>
      <c r="AB19" s="34">
        <f t="shared" si="1"/>
        <v>0.3592750996721023</v>
      </c>
      <c r="AC19" s="34">
        <v>0.10564817677817759</v>
      </c>
      <c r="AD19" s="35">
        <v>5.2735952151308538E-2</v>
      </c>
      <c r="AE19" s="35">
        <v>3.580080451343183E-2</v>
      </c>
      <c r="AF19" s="35">
        <v>2.1682863338144169E-2</v>
      </c>
      <c r="AG19" s="35">
        <v>1.398084433503766E-2</v>
      </c>
      <c r="AH19" s="35">
        <v>1.0082864726252182E-2</v>
      </c>
      <c r="AI19" s="35">
        <v>6.720287710269765E-3</v>
      </c>
      <c r="AJ19" s="35">
        <v>4.6507884996584876E-3</v>
      </c>
      <c r="AK19" s="35">
        <v>2.8644473532461012E-3</v>
      </c>
      <c r="AL19" s="34">
        <v>1.5337523063970069E-2</v>
      </c>
      <c r="AM19" s="35">
        <v>6.9468963773125614E-2</v>
      </c>
      <c r="AN19" s="35">
        <v>3.235453325095785E-2</v>
      </c>
      <c r="AO19" s="35">
        <v>1.935403189512273E-2</v>
      </c>
      <c r="AP19" s="35">
        <v>7.1077727129608007E-3</v>
      </c>
      <c r="AQ19" s="35">
        <v>3.0032229031887177E-3</v>
      </c>
      <c r="AR19" s="35">
        <v>1.4784998979897423E-3</v>
      </c>
      <c r="AS19" s="34">
        <v>8.9031695650525614E-2</v>
      </c>
      <c r="AT19" s="35">
        <v>3.4299078856586909E-2</v>
      </c>
      <c r="AU19" s="35">
        <v>1.2219852345207607E-2</v>
      </c>
      <c r="AV19" s="35">
        <v>5.3091672438181732E-3</v>
      </c>
      <c r="AW19" s="62">
        <v>1.8558480056214024E-3</v>
      </c>
    </row>
    <row r="20" spans="1:49" x14ac:dyDescent="0.25">
      <c r="A20" s="15"/>
      <c r="B20" s="15">
        <v>6</v>
      </c>
      <c r="C20" s="40">
        <v>0.1</v>
      </c>
      <c r="D20" s="41">
        <v>0.100009</v>
      </c>
      <c r="E20" s="41">
        <v>0.49998999999999999</v>
      </c>
      <c r="F20" s="41">
        <v>0.30000100000000002</v>
      </c>
      <c r="G20" s="42">
        <v>268.28899100000001</v>
      </c>
      <c r="H20" s="43">
        <v>1.8921600000000001</v>
      </c>
      <c r="I20" s="44">
        <v>79999.999859999996</v>
      </c>
      <c r="J20" s="76">
        <v>744.14632500000005</v>
      </c>
      <c r="K20" s="48">
        <v>-35.675770999999997</v>
      </c>
      <c r="L20" s="111"/>
      <c r="M20" s="46">
        <v>8.9706915000000012E-2</v>
      </c>
      <c r="N20" s="47">
        <v>0.11350495000000001</v>
      </c>
      <c r="O20" s="47">
        <v>8.6468279999999995E-2</v>
      </c>
      <c r="P20" s="47">
        <v>0.71031984999999986</v>
      </c>
      <c r="Q20" s="73">
        <v>268.3</v>
      </c>
      <c r="R20" s="15">
        <v>1.89</v>
      </c>
      <c r="S20" s="15">
        <v>80000</v>
      </c>
      <c r="T20" s="42">
        <v>744.55814984350513</v>
      </c>
      <c r="U20" s="47">
        <v>0.25297535373297125</v>
      </c>
      <c r="V20" s="46">
        <v>0.11899929212262382</v>
      </c>
      <c r="W20" s="47">
        <v>0.24771827567267812</v>
      </c>
      <c r="X20" s="47">
        <v>0.25427385486112791</v>
      </c>
      <c r="Y20" s="47">
        <v>0.15022204769652328</v>
      </c>
      <c r="Z20" s="47">
        <v>8.7517838107799131E-2</v>
      </c>
      <c r="AA20" s="47">
        <v>0.14126869153924795</v>
      </c>
      <c r="AB20" s="46">
        <f t="shared" si="1"/>
        <v>0.36671756779530196</v>
      </c>
      <c r="AC20" s="46">
        <v>0.10443191684310148</v>
      </c>
      <c r="AD20" s="47">
        <v>5.2997022719332099E-2</v>
      </c>
      <c r="AE20" s="47">
        <v>3.5939383270294542E-2</v>
      </c>
      <c r="AF20" s="47">
        <v>2.2037826775587979E-2</v>
      </c>
      <c r="AG20" s="47">
        <v>1.4153155253640737E-2</v>
      </c>
      <c r="AH20" s="47">
        <v>1.0350787963498106E-2</v>
      </c>
      <c r="AI20" s="47">
        <v>6.8570790812139404E-3</v>
      </c>
      <c r="AJ20" s="47">
        <v>4.5724494175084455E-3</v>
      </c>
      <c r="AK20" s="47">
        <v>2.9342335369505557E-3</v>
      </c>
      <c r="AL20" s="46">
        <v>1.4082536251482114E-2</v>
      </c>
      <c r="AM20" s="47">
        <v>7.0897137491009288E-2</v>
      </c>
      <c r="AN20" s="47">
        <v>3.2749054562963752E-2</v>
      </c>
      <c r="AO20" s="47">
        <v>2.0144863670746839E-2</v>
      </c>
      <c r="AP20" s="47">
        <v>7.4810530456909732E-3</v>
      </c>
      <c r="AQ20" s="47">
        <v>3.2904227788408528E-3</v>
      </c>
      <c r="AR20" s="47">
        <v>1.5769798957894789E-3</v>
      </c>
      <c r="AS20" s="46">
        <v>8.7655287708022916E-2</v>
      </c>
      <c r="AT20" s="47">
        <v>3.4233260107525372E-2</v>
      </c>
      <c r="AU20" s="47">
        <v>1.2214361102940319E-2</v>
      </c>
      <c r="AV20" s="47">
        <v>5.2951027857432104E-3</v>
      </c>
      <c r="AW20" s="63">
        <v>1.8706798350161184E-3</v>
      </c>
    </row>
  </sheetData>
  <sortState xmlns:xlrd2="http://schemas.microsoft.com/office/spreadsheetml/2017/richdata2" ref="B9:AV14">
    <sortCondition ref="B9:B14"/>
  </sortState>
  <mergeCells count="15">
    <mergeCell ref="B1:B2"/>
    <mergeCell ref="C1:F1"/>
    <mergeCell ref="G1:I1"/>
    <mergeCell ref="J1:K1"/>
    <mergeCell ref="Q1:S1"/>
    <mergeCell ref="T1:U1"/>
    <mergeCell ref="AC1:AK1"/>
    <mergeCell ref="AL1:AR1"/>
    <mergeCell ref="AS1:AW1"/>
    <mergeCell ref="V1:AA1"/>
    <mergeCell ref="L3:L8"/>
    <mergeCell ref="L9:L14"/>
    <mergeCell ref="L15:L20"/>
    <mergeCell ref="L1:L2"/>
    <mergeCell ref="M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 1 seed</vt:lpstr>
      <vt:lpstr>Phase 1</vt:lpstr>
      <vt:lpstr>Phase 2 seed</vt:lpstr>
      <vt:lpstr>Phase 2</vt:lpstr>
      <vt:lpstr>Phase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2024-05-05T16:31:51Z</dcterms:modified>
</cp:coreProperties>
</file>